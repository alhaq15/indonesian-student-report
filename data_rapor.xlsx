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PRIBADI\BINUS\Paper\Rapor Generator\experiment\LLM\"/>
    </mc:Choice>
  </mc:AlternateContent>
  <xr:revisionPtr revIDLastSave="0" documentId="13_ncr:1_{A87287B2-26B5-4357-A478-F17BFD4DCA8A}" xr6:coauthVersionLast="47" xr6:coauthVersionMax="47" xr10:uidLastSave="{00000000-0000-0000-0000-000000000000}"/>
  <bookViews>
    <workbookView xWindow="-120" yWindow="-120" windowWidth="29040" windowHeight="15840" activeTab="5" xr2:uid="{00000000-000D-0000-FFFF-FFFF00000000}"/>
  </bookViews>
  <sheets>
    <sheet name="pertanyaan" sheetId="10" r:id="rId1"/>
    <sheet name="siswa" sheetId="7" r:id="rId2"/>
    <sheet name="rapor" sheetId="9" r:id="rId3"/>
    <sheet name="rule_level" sheetId="8" r:id="rId4"/>
    <sheet name="CP_TK" sheetId="1" r:id="rId5"/>
    <sheet name="CP_SD" sheetId="4" r:id="rId6"/>
    <sheet name="CP_SMP" sheetId="5" r:id="rId7"/>
    <sheet name="CP_SMA" sheetId="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 i="9" l="1"/>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2" i="9"/>
</calcChain>
</file>

<file path=xl/sharedStrings.xml><?xml version="1.0" encoding="utf-8"?>
<sst xmlns="http://schemas.openxmlformats.org/spreadsheetml/2006/main" count="515" uniqueCount="182">
  <si>
    <t>Capaian Pembelajaran</t>
  </si>
  <si>
    <t>mengenal dan mempraktikkan ajaran pokok sesuai dengan agama dan kepercayaannya.</t>
  </si>
  <si>
    <t>berpartisipasi aktif dalam menjaga kebersihan, kesehatan, dan keselamatan diri.</t>
  </si>
  <si>
    <t xml:space="preserve">sebagai bentuk rasa sayang terhadap dirinya dan rasa syukur kepada Tuhan Yang Maha Esa. </t>
  </si>
  <si>
    <t xml:space="preserve">menghargai sesama manusia dengan berbagai perbedaannya dan mempraktikkan perilaku baik dan berakhlak mulia. </t>
  </si>
  <si>
    <t>menghargai alam dengan cara merawatnya dan menunjukkan rasa sayang terhadap makhluk hidup yang merupakan ciptaan Tuhan Yang Maha Esa.</t>
  </si>
  <si>
    <t>Agama</t>
  </si>
  <si>
    <t>Matematika</t>
  </si>
  <si>
    <r>
      <t>menunjukkan pemahaman dan memiliki intuisi bilangan (</t>
    </r>
    <r>
      <rPr>
        <i/>
        <sz val="12"/>
        <color rgb="FF4D4D4D"/>
        <rFont val="Calibri"/>
        <family val="2"/>
        <scheme val="minor"/>
      </rPr>
      <t>number sense</t>
    </r>
    <r>
      <rPr>
        <sz val="12"/>
        <color rgb="FF4D4D4D"/>
        <rFont val="Calibri"/>
        <family val="2"/>
        <scheme val="minor"/>
      </rPr>
      <t xml:space="preserve">) pada bilangan cacah sampai 100, termasuk melakukan komposisi (menyusun) dan dekomposisi (mengurai) bilangan tersebut. </t>
    </r>
  </si>
  <si>
    <t xml:space="preserve">melakukan operasi penjumlahan dan pengurangan pada bilangan cacah sampai 20, dan dapat memahami pecahan setengah dan seperempat. </t>
  </si>
  <si>
    <t xml:space="preserve">mengenali, meniru, dan melanjutkan pola-pola bukan bilangan. </t>
  </si>
  <si>
    <t>membandingkan panjang, berat, dan durasi waktu, serta mengestimasi panjang menggunakan satuan tidak baku.</t>
  </si>
  <si>
    <t>mengenal berbagai bangun datar dan bangun ruang, serta dapat menyusun dan mengurai bangun datar.</t>
  </si>
  <si>
    <t>menentukan posisi benda terhadap benda lain.</t>
  </si>
  <si>
    <t>mengoperasikan secara efisien bilangan bulat, bilangan rasional dan irasional, bilangan desimal, bilangan berpangkat bulat dan akar, bilangan dalam notasi ilmiah; melakukan pemfaktoran bilangan prima, menggunakan faktor skala, proporsi dan laju perubahan.</t>
  </si>
  <si>
    <t xml:space="preserve">menyajikan dan menyelesaikan persamaan dan pertidaksamaan linier satu variabel dan sistem persamaan linier dengan dua variabel dengan beberapa cara, memahami dan menyajikan relasi dan fungsi. </t>
  </si>
  <si>
    <t xml:space="preserve">menentukan luas permukaan dan volume bangun ruang (prisma, tabung, bola, limas dan kerucut) untuk menyelesaikan masalah yang terkait, menjelaskan pengaruh perubahan secara proporsional dari bangun datar dan bangun ruang terhadap ukuran panjang, luas, dan/atau volume. </t>
  </si>
  <si>
    <t xml:space="preserve">membuat jaring-jaring bangun ruang (prisma, tabung, limas dan kerucut) dan membuat bangun ruang tersebut dari jaringjaringnya. </t>
  </si>
  <si>
    <t>menggunakan sifat-sifat hubungan sudut terkait dengan garis transversal, sifat kongruen dan kesebangunan pada segitiga dan segiempat.</t>
  </si>
  <si>
    <t xml:space="preserve">memodelkan pinjaman dan investasi dengan bunga majemuk dan anuitas. </t>
  </si>
  <si>
    <t>menyatakan data dalam bentuk matriks, dan menentukan fungsi invers, komposisi fungsi dan transformasi fungsi untuk memodelkan situasi dunia nyata.</t>
  </si>
  <si>
    <t xml:space="preserve">menerapkan teorema tentang lingkaran, dan menentukan panjang busur dan luas juring lingkaran untuk menyelesaikan masalah. </t>
  </si>
  <si>
    <t>melakukan proses penyelidikan statistika untuk data bivariat dan mengevaluasi berbagai laporan berbasis statistik.</t>
  </si>
  <si>
    <t xml:space="preserve">menyatakan data dalam bentuk matriks. </t>
  </si>
  <si>
    <t>Nama</t>
  </si>
  <si>
    <t>Nilai</t>
  </si>
  <si>
    <t>Level</t>
  </si>
  <si>
    <t>Ade Suhartono</t>
  </si>
  <si>
    <t>Siti Fatimah</t>
  </si>
  <si>
    <t>Dede Jainudin</t>
  </si>
  <si>
    <t>Firli Sampono</t>
  </si>
  <si>
    <t>TK</t>
  </si>
  <si>
    <t>SD</t>
  </si>
  <si>
    <t>SMP</t>
  </si>
  <si>
    <t>SMA</t>
  </si>
  <si>
    <t>Fase</t>
  </si>
  <si>
    <t>Deskripsi</t>
  </si>
  <si>
    <t>LEVEL</t>
  </si>
  <si>
    <t>LOWER</t>
  </si>
  <si>
    <t>UPPER</t>
  </si>
  <si>
    <t>GRADE</t>
  </si>
  <si>
    <t>sangat baik</t>
  </si>
  <si>
    <t>baik</t>
  </si>
  <si>
    <t>cukup baik</t>
  </si>
  <si>
    <t>Ananda Ade Suhartono baik mengenal dan mempraktikkan ajaran pokok sesuai dengan agama dan kepercayaannya.</t>
  </si>
  <si>
    <t xml:space="preserve">Ananda Siti Fatimah sangat baik mengenali, meniru, dan melanjutkan pola-pola bukan bilangan. </t>
  </si>
  <si>
    <t xml:space="preserve">Ananda Dede Jainudin sangat baik menyajikan dan menyelesaikan persamaan dan pertidaksamaan linier satu variabel dan sistem persamaan linier dengan dua variabel dengan beberapa cara, memahami dan menyajikan relasi dan fungsi. </t>
  </si>
  <si>
    <t>Ananda Firli Sampono gagal melakukan proses penyelidikan statistika untuk data bivariat dan mengevaluasi berbagai laporan berbasis statistik.</t>
  </si>
  <si>
    <t>perlu peningkatan</t>
  </si>
  <si>
    <t>CP</t>
  </si>
  <si>
    <t>Ekskul</t>
  </si>
  <si>
    <t>Alpa</t>
  </si>
  <si>
    <t>Izin</t>
  </si>
  <si>
    <t>Sakit</t>
  </si>
  <si>
    <t>cukup</t>
  </si>
  <si>
    <t>Ahmad Hilmi Tamaam</t>
  </si>
  <si>
    <t>Albert Jonathan Aditya Nugroho</t>
  </si>
  <si>
    <t>Ariq Fauzan Albaqiy Kusumah</t>
  </si>
  <si>
    <t>Atthaya Khazana</t>
  </si>
  <si>
    <t>Balqis Keyla Ghassani</t>
  </si>
  <si>
    <t>Chelsea Alanna Fakhira</t>
  </si>
  <si>
    <t>Clarisse Xaviera Kurniaman</t>
  </si>
  <si>
    <t>Dariel Kristyo</t>
  </si>
  <si>
    <t>Esther Nasya Irenne</t>
  </si>
  <si>
    <t>Fa'Iq Haidar Prasetya</t>
  </si>
  <si>
    <t>Farrel Widjaja</t>
  </si>
  <si>
    <t>Ferlangga Wispra Ardhana</t>
  </si>
  <si>
    <t>Gabriel Jehuda</t>
  </si>
  <si>
    <t>Gary Chen</t>
  </si>
  <si>
    <t>Gerald Jordan Karim</t>
  </si>
  <si>
    <t>Geraldan Ahmad Hafizh</t>
  </si>
  <si>
    <t>Hans Christian Kosasih</t>
  </si>
  <si>
    <t>I Gede Janardhana Abby</t>
  </si>
  <si>
    <t>Irgya Genta Arnezzi</t>
  </si>
  <si>
    <t>Jovan Stefanus</t>
  </si>
  <si>
    <t>Keenan Muhammad Otthmar Emzed</t>
  </si>
  <si>
    <t>Kevin Alexander Tjahjono</t>
  </si>
  <si>
    <t>Latasha Ivy Khoe</t>
  </si>
  <si>
    <t>Maria Louisa Alfianto</t>
  </si>
  <si>
    <t>Marvin Octavianus Salim Purnama</t>
  </si>
  <si>
    <t>Maryam Dinara Al Adhawiyyah Burhani</t>
  </si>
  <si>
    <t>Matthew Natanael</t>
  </si>
  <si>
    <t>Matthew Yosea</t>
  </si>
  <si>
    <t>Muhamad Rifki Ramdani</t>
  </si>
  <si>
    <t>Muhammad Akmal Fairuz</t>
  </si>
  <si>
    <t>Muhammad Daffa Aqqillah</t>
  </si>
  <si>
    <t>Muhammad Fatih Rizki Herianto</t>
  </si>
  <si>
    <t>Muhammad Ikhsan Nur Rafid</t>
  </si>
  <si>
    <t>Muhammad Rizki Pratama</t>
  </si>
  <si>
    <t>Muhammad Zulfahmy Firdaus</t>
  </si>
  <si>
    <t>Nazriel Nur Rifky</t>
  </si>
  <si>
    <t>Nicholas Axel Nathaniel Sugiarto</t>
  </si>
  <si>
    <t>Nicholas Tirta</t>
  </si>
  <si>
    <t>Pasya Kemal Halim</t>
  </si>
  <si>
    <t>Priscilla Valencia Andow</t>
  </si>
  <si>
    <t>Raden Zahra Auliya Marissa Solihin</t>
  </si>
  <si>
    <t>Raihan Satya Natha Hamzah</t>
  </si>
  <si>
    <t>Ratu Azalea Meiza Asri</t>
  </si>
  <si>
    <t>Raynard Kenn Wilbert</t>
  </si>
  <si>
    <t>Rialan Dumaris Sihombing</t>
  </si>
  <si>
    <t>Richard Paulus Wihardja</t>
  </si>
  <si>
    <t>Shieren Revalina Jesslyn</t>
  </si>
  <si>
    <t>Stefany Go</t>
  </si>
  <si>
    <t>Syechran Aqilla Fajarputra</t>
  </si>
  <si>
    <t>Taufiqurrahman Hamdan Al Ayubi</t>
  </si>
  <si>
    <t>Teguh Ilham Saputra</t>
  </si>
  <si>
    <t>Valent Steve Asman</t>
  </si>
  <si>
    <t>Vincentius Christian Hermawan</t>
  </si>
  <si>
    <t>Virlene Marchella</t>
  </si>
  <si>
    <t>Winsen Cristiano Sun</t>
  </si>
  <si>
    <t>Zebedeus Candra Hadiyanto</t>
  </si>
  <si>
    <t>Zefanya Felicita Adithya</t>
  </si>
  <si>
    <t>Adelya Selfi Lisyana</t>
  </si>
  <si>
    <t>Ahmad Ghiyats</t>
  </si>
  <si>
    <t>Alexa Dominique Djojoseputro</t>
  </si>
  <si>
    <t>Alicia Orell Mulijadi</t>
  </si>
  <si>
    <t>Aliyaa Raisa Adzany</t>
  </si>
  <si>
    <t>Ayesha Raya Raditya</t>
  </si>
  <si>
    <t>Caroline Kurniawan</t>
  </si>
  <si>
    <t>Cathleen Angelina Hendarto</t>
  </si>
  <si>
    <t>Clara Amadis</t>
  </si>
  <si>
    <t>Daffa Adira Pratama</t>
  </si>
  <si>
    <t>Darren Farrel Hariyanto</t>
  </si>
  <si>
    <t>Delen Cung</t>
  </si>
  <si>
    <t>Delviansyah Alfarrel</t>
  </si>
  <si>
    <t>Enrico Darrell Fideli</t>
  </si>
  <si>
    <t>Ernest L Joshua</t>
  </si>
  <si>
    <t>Faiza Himatul Aliyah</t>
  </si>
  <si>
    <t>Giesella Virginia Tampi</t>
  </si>
  <si>
    <t>Gina Nita Hosea</t>
  </si>
  <si>
    <t>Hauw, Adeline Delicia</t>
  </si>
  <si>
    <t>Ignatius Adrian</t>
  </si>
  <si>
    <t>Jason Owen Prasetya</t>
  </si>
  <si>
    <t>Jeanette Clearents Gunawan</t>
  </si>
  <si>
    <t>Jesselyn Catalina Martin</t>
  </si>
  <si>
    <t>Jevirly Gloria Wijaya Putri</t>
  </si>
  <si>
    <t>Jocelyn Nathania Setiawan</t>
  </si>
  <si>
    <t>Justine Feriana Litanto</t>
  </si>
  <si>
    <t>Karen Gabrielle</t>
  </si>
  <si>
    <t>Karina Nur Fatimah</t>
  </si>
  <si>
    <t>Kinanti Akmalia Putri Wiradilaga</t>
  </si>
  <si>
    <t>Layyina Azka Syahira</t>
  </si>
  <si>
    <t>Lilian Lauretta Kristyanto</t>
  </si>
  <si>
    <t>Louise Lawrence Setiahardi</t>
  </si>
  <si>
    <t>Lumempouw, Jonathan Richard</t>
  </si>
  <si>
    <t>Malika Azka Putri Raharja</t>
  </si>
  <si>
    <t>Marcia Estrella Mulijadi</t>
  </si>
  <si>
    <t>Maura Lingga Putri</t>
  </si>
  <si>
    <t>Mayra Ayaka</t>
  </si>
  <si>
    <t>Melchior Prasetya Rumbiak</t>
  </si>
  <si>
    <t>Mischa Karin Tjhan Karaseran</t>
  </si>
  <si>
    <t>Silakan baca kalimat deskripsi nilai siswa berikut dengan seksama.</t>
  </si>
  <si>
    <t>Berikan penilaian terhadap kalimat tersebut berdasarkan kriteria yang tersedia menggunakan skala 1–5.</t>
  </si>
  <si>
    <t>1 = Sangat Buruk</t>
  </si>
  <si>
    <t>2 = Buruk</t>
  </si>
  <si>
    <t>3 = Cukup</t>
  </si>
  <si>
    <t>4 = Baik</t>
  </si>
  <si>
    <t>5 = Sangat Baik</t>
  </si>
  <si>
    <t>Seberapa mudah kalimat tersebut dibaca dan dipahami?</t>
  </si>
  <si>
    <t>(Pertimbangkan kejelasan, struktur kalimat, dan pemilihan kata.)</t>
  </si>
  <si>
    <t>Readability (Keterbacaan)</t>
  </si>
  <si>
    <t>Semantic Correctness (Kesesuaian Makna)</t>
  </si>
  <si>
    <t>Seberapa sesuai makna kalimat dengan data atau nilai siswa yang diberikan?</t>
  </si>
  <si>
    <t>(Pertimbangkan apakah informasi dalam kalimat sudah mencerminkan kondisi siswa dengan benar.)</t>
  </si>
  <si>
    <t>Fluency (Kelancaran Bahasa)</t>
  </si>
  <si>
    <t>Seberapa alami dan benar tata bahasa yang digunakan dalam kalimat?</t>
  </si>
  <si>
    <t>(Pertimbangkan tata bahasa, tanda baca, dan apakah kalimat terdengar alami.)</t>
  </si>
  <si>
    <t>Matapelajaran</t>
  </si>
  <si>
    <t>Bahasa Indonesia</t>
  </si>
  <si>
    <t>PKN</t>
  </si>
  <si>
    <t>Perbaikan</t>
  </si>
  <si>
    <t>bilangan pecahan</t>
  </si>
  <si>
    <t>pancasila; lambang negara</t>
  </si>
  <si>
    <t>kalimat aktif pasif; sinonim antonim</t>
  </si>
  <si>
    <t>tauhid; nama-nama nabi</t>
  </si>
  <si>
    <t>Grade_ekskul</t>
  </si>
  <si>
    <t>Pramuka</t>
  </si>
  <si>
    <t>Sepak bola</t>
  </si>
  <si>
    <t>Mengaji</t>
  </si>
  <si>
    <t>Bahasa Inggris</t>
  </si>
  <si>
    <t>baik sekali</t>
  </si>
  <si>
    <t>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</si>
</sst>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2"/>
      <color rgb="FF4D4D4D"/>
      <name val="Calibri"/>
      <family val="2"/>
      <scheme val="minor"/>
    </font>
    <font>
      <sz val="12"/>
      <color rgb="FF4D4D4D"/>
      <name val="Calibri"/>
      <family val="2"/>
      <scheme val="minor"/>
    </font>
    <font>
      <sz val="12"/>
      <color theme="1"/>
      <name val="Calibri"/>
      <family val="2"/>
      <scheme val="minor"/>
    </font>
    <font>
      <sz val="12"/>
      <name val="Calibri"/>
    </font>
  </fonts>
  <fills count="2">
    <fill>
      <patternFill patternType="none"/>
    </fill>
    <fill>
      <patternFill patternType="gray125"/>
    </fill>
  </fills>
  <borders count="1">
    <border>
      <left/>
      <right/>
      <top/>
      <bottom/>
      <diagonal/>
    </border>
  </borders>
  <cellStyleXfs count="2">
    <xf numFmtId="0" fontId="0" fillId="0" borderId="0"/>
    <xf numFmtId="0" fontId="5" fillId="0" borderId="0"/>
  </cellStyleXfs>
  <cellXfs count="6">
    <xf numFmtId="0" fontId="0" fillId="0" borderId="0" xfId="0"/>
    <xf numFmtId="0" fontId="0" fillId="0" borderId="0" xfId="0" applyAlignment="1">
      <alignment wrapText="1"/>
    </xf>
    <xf numFmtId="0" fontId="1" fillId="0" borderId="0" xfId="0" applyFont="1"/>
    <xf numFmtId="0" fontId="4" fillId="0" borderId="0" xfId="0" applyFont="1" applyAlignment="1">
      <alignment wrapText="1"/>
    </xf>
    <xf numFmtId="0" fontId="1" fillId="0" borderId="0" xfId="0" applyFont="1" applyAlignment="1">
      <alignment horizontal="center"/>
    </xf>
    <xf numFmtId="0" fontId="5" fillId="0" borderId="0" xfId="1" applyAlignment="1">
      <alignment horizontal="left" vertical="center"/>
    </xf>
  </cellXfs>
  <cellStyles count="2">
    <cellStyle name="Normal" xfId="0" builtinId="0"/>
    <cellStyle name="Normal 2" xfId="1" xr:uid="{4DC933FB-EFA5-4FFB-8AA2-2A57E2BA5B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8E864-96FD-4D70-9A32-E1A3FB16CEE4}">
  <dimension ref="A1:A20"/>
  <sheetViews>
    <sheetView workbookViewId="0">
      <selection activeCell="A24" sqref="A24"/>
    </sheetView>
  </sheetViews>
  <sheetFormatPr defaultRowHeight="15" x14ac:dyDescent="0.25"/>
  <cols>
    <col min="1" max="1" width="94.85546875" bestFit="1" customWidth="1"/>
  </cols>
  <sheetData>
    <row r="1" spans="1:1" x14ac:dyDescent="0.25">
      <c r="A1" t="s">
        <v>151</v>
      </c>
    </row>
    <row r="2" spans="1:1" x14ac:dyDescent="0.25">
      <c r="A2" t="s">
        <v>152</v>
      </c>
    </row>
    <row r="4" spans="1:1" x14ac:dyDescent="0.25">
      <c r="A4" t="s">
        <v>153</v>
      </c>
    </row>
    <row r="5" spans="1:1" x14ac:dyDescent="0.25">
      <c r="A5" t="s">
        <v>154</v>
      </c>
    </row>
    <row r="6" spans="1:1" x14ac:dyDescent="0.25">
      <c r="A6" t="s">
        <v>155</v>
      </c>
    </row>
    <row r="7" spans="1:1" x14ac:dyDescent="0.25">
      <c r="A7" t="s">
        <v>156</v>
      </c>
    </row>
    <row r="8" spans="1:1" x14ac:dyDescent="0.25">
      <c r="A8" t="s">
        <v>157</v>
      </c>
    </row>
    <row r="10" spans="1:1" x14ac:dyDescent="0.25">
      <c r="A10" s="2" t="s">
        <v>160</v>
      </c>
    </row>
    <row r="11" spans="1:1" x14ac:dyDescent="0.25">
      <c r="A11" t="s">
        <v>158</v>
      </c>
    </row>
    <row r="12" spans="1:1" x14ac:dyDescent="0.25">
      <c r="A12" t="s">
        <v>159</v>
      </c>
    </row>
    <row r="14" spans="1:1" x14ac:dyDescent="0.25">
      <c r="A14" s="2" t="s">
        <v>161</v>
      </c>
    </row>
    <row r="15" spans="1:1" x14ac:dyDescent="0.25">
      <c r="A15" t="s">
        <v>162</v>
      </c>
    </row>
    <row r="16" spans="1:1" x14ac:dyDescent="0.25">
      <c r="A16" t="s">
        <v>163</v>
      </c>
    </row>
    <row r="18" spans="1:1" x14ac:dyDescent="0.25">
      <c r="A18" s="2" t="s">
        <v>164</v>
      </c>
    </row>
    <row r="19" spans="1:1" x14ac:dyDescent="0.25">
      <c r="A19" t="s">
        <v>165</v>
      </c>
    </row>
    <row r="20" spans="1:1" x14ac:dyDescent="0.25">
      <c r="A20"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98BB6-3A95-4EC9-AB4D-8F909A81C56E}">
  <sheetPr codeName="Sheet1"/>
  <dimension ref="A1:E6"/>
  <sheetViews>
    <sheetView workbookViewId="0">
      <selection activeCell="E15" sqref="E15"/>
    </sheetView>
  </sheetViews>
  <sheetFormatPr defaultRowHeight="15" x14ac:dyDescent="0.25"/>
  <cols>
    <col min="1" max="1" width="32.5703125" customWidth="1"/>
    <col min="2" max="2" width="5.7109375" bestFit="1" customWidth="1"/>
    <col min="5" max="5" width="130" customWidth="1"/>
  </cols>
  <sheetData>
    <row r="1" spans="1:5" ht="45" customHeight="1" x14ac:dyDescent="0.25"/>
    <row r="2" spans="1:5" x14ac:dyDescent="0.25">
      <c r="A2" s="4" t="s">
        <v>24</v>
      </c>
      <c r="B2" s="4" t="s">
        <v>26</v>
      </c>
      <c r="C2" s="4" t="s">
        <v>35</v>
      </c>
      <c r="D2" s="4" t="s">
        <v>25</v>
      </c>
      <c r="E2" s="4" t="s">
        <v>36</v>
      </c>
    </row>
    <row r="3" spans="1:5" x14ac:dyDescent="0.25">
      <c r="A3" t="s">
        <v>27</v>
      </c>
      <c r="B3" t="s">
        <v>31</v>
      </c>
      <c r="C3">
        <v>1</v>
      </c>
      <c r="D3">
        <v>80</v>
      </c>
      <c r="E3" t="s">
        <v>44</v>
      </c>
    </row>
    <row r="4" spans="1:5" x14ac:dyDescent="0.25">
      <c r="A4" t="s">
        <v>28</v>
      </c>
      <c r="B4" t="s">
        <v>32</v>
      </c>
      <c r="C4">
        <v>3</v>
      </c>
      <c r="D4">
        <v>90</v>
      </c>
      <c r="E4" t="s">
        <v>45</v>
      </c>
    </row>
    <row r="5" spans="1:5" x14ac:dyDescent="0.25">
      <c r="A5" t="s">
        <v>29</v>
      </c>
      <c r="B5" t="s">
        <v>33</v>
      </c>
      <c r="C5">
        <v>2</v>
      </c>
      <c r="D5">
        <v>95</v>
      </c>
      <c r="E5" t="s">
        <v>46</v>
      </c>
    </row>
    <row r="6" spans="1:5" x14ac:dyDescent="0.25">
      <c r="A6" t="s">
        <v>30</v>
      </c>
      <c r="B6" t="s">
        <v>34</v>
      </c>
      <c r="C6">
        <v>4</v>
      </c>
      <c r="D6">
        <v>50</v>
      </c>
      <c r="E6"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A8F9D-8763-4EB3-9F99-B6EAB978D45E}">
  <sheetPr codeName="Sheet2"/>
  <dimension ref="A1:L116"/>
  <sheetViews>
    <sheetView workbookViewId="0">
      <selection activeCell="G99" sqref="G99:G101"/>
    </sheetView>
  </sheetViews>
  <sheetFormatPr defaultRowHeight="15" x14ac:dyDescent="0.25"/>
  <cols>
    <col min="1" max="1" width="44.42578125" bestFit="1" customWidth="1"/>
    <col min="2" max="2" width="14" bestFit="1" customWidth="1"/>
    <col min="3" max="3" width="6.85546875" customWidth="1"/>
    <col min="5" max="5" width="33.42578125" bestFit="1" customWidth="1"/>
    <col min="6" max="6" width="17.42578125" bestFit="1" customWidth="1"/>
    <col min="7" max="7" width="17.42578125" customWidth="1"/>
  </cols>
  <sheetData>
    <row r="1" spans="1:12" x14ac:dyDescent="0.25">
      <c r="A1" s="4" t="s">
        <v>24</v>
      </c>
      <c r="B1" s="4" t="s">
        <v>167</v>
      </c>
      <c r="C1" s="4" t="s">
        <v>49</v>
      </c>
      <c r="D1" s="4" t="s">
        <v>25</v>
      </c>
      <c r="E1" s="4" t="s">
        <v>170</v>
      </c>
      <c r="F1" s="4" t="s">
        <v>50</v>
      </c>
      <c r="G1" s="4" t="s">
        <v>175</v>
      </c>
      <c r="H1" s="4" t="s">
        <v>51</v>
      </c>
      <c r="I1" s="4" t="s">
        <v>52</v>
      </c>
      <c r="J1" s="4" t="s">
        <v>53</v>
      </c>
    </row>
    <row r="2" spans="1:12" x14ac:dyDescent="0.25">
      <c r="A2" t="s">
        <v>27</v>
      </c>
      <c r="B2" t="s">
        <v>7</v>
      </c>
      <c r="C2">
        <v>1</v>
      </c>
      <c r="D2">
        <v>80</v>
      </c>
      <c r="E2" t="s">
        <v>171</v>
      </c>
      <c r="F2" t="s">
        <v>176</v>
      </c>
      <c r="G2" t="s">
        <v>42</v>
      </c>
      <c r="H2">
        <v>0</v>
      </c>
      <c r="I2">
        <v>2</v>
      </c>
      <c r="J2">
        <v>0</v>
      </c>
      <c r="L2" t="str">
        <f>IF(D2&gt;=90,"sangat baik",IF(D2&gt;=80,"baik",IF(D2&gt;=70,"cukup","perlu peningkatan")))</f>
        <v>baik</v>
      </c>
    </row>
    <row r="3" spans="1:12" x14ac:dyDescent="0.25">
      <c r="A3" t="s">
        <v>28</v>
      </c>
      <c r="B3" t="s">
        <v>168</v>
      </c>
      <c r="C3">
        <v>3</v>
      </c>
      <c r="D3">
        <v>90</v>
      </c>
      <c r="F3" t="s">
        <v>177</v>
      </c>
      <c r="G3" t="s">
        <v>54</v>
      </c>
      <c r="H3">
        <v>5</v>
      </c>
      <c r="I3">
        <v>1</v>
      </c>
      <c r="J3">
        <v>0</v>
      </c>
      <c r="L3" t="str">
        <f t="shared" ref="L3:L66" si="0">IF(D3&gt;=90,"sangat baik",IF(D3&gt;=80,"baik",IF(D3&gt;=70,"cukup","perlu peningkatan")))</f>
        <v>sangat baik</v>
      </c>
    </row>
    <row r="4" spans="1:12" x14ac:dyDescent="0.25">
      <c r="A4" t="s">
        <v>29</v>
      </c>
      <c r="B4" t="s">
        <v>6</v>
      </c>
      <c r="C4">
        <v>2</v>
      </c>
      <c r="D4">
        <v>95</v>
      </c>
      <c r="F4" t="s">
        <v>178</v>
      </c>
      <c r="G4" t="s">
        <v>180</v>
      </c>
      <c r="H4">
        <v>2</v>
      </c>
      <c r="I4">
        <v>0</v>
      </c>
      <c r="J4">
        <v>1</v>
      </c>
      <c r="L4" t="str">
        <f t="shared" si="0"/>
        <v>sangat baik</v>
      </c>
    </row>
    <row r="5" spans="1:12" x14ac:dyDescent="0.25">
      <c r="A5" t="s">
        <v>30</v>
      </c>
      <c r="B5" t="s">
        <v>169</v>
      </c>
      <c r="C5">
        <v>4</v>
      </c>
      <c r="D5">
        <v>50</v>
      </c>
      <c r="F5" t="s">
        <v>179</v>
      </c>
      <c r="G5" t="s">
        <v>42</v>
      </c>
      <c r="H5">
        <v>1</v>
      </c>
      <c r="I5">
        <v>0</v>
      </c>
      <c r="J5">
        <v>2</v>
      </c>
      <c r="L5" t="str">
        <f t="shared" si="0"/>
        <v>perlu peningkatan</v>
      </c>
    </row>
    <row r="6" spans="1:12" ht="15.75" x14ac:dyDescent="0.25">
      <c r="A6" s="5" t="s">
        <v>55</v>
      </c>
      <c r="B6" t="s">
        <v>7</v>
      </c>
      <c r="C6">
        <v>5</v>
      </c>
      <c r="D6">
        <v>75</v>
      </c>
      <c r="F6" t="s">
        <v>176</v>
      </c>
      <c r="G6" t="s">
        <v>42</v>
      </c>
      <c r="H6">
        <v>0</v>
      </c>
      <c r="I6">
        <v>0</v>
      </c>
      <c r="J6">
        <v>0</v>
      </c>
      <c r="L6" t="str">
        <f t="shared" si="0"/>
        <v>cukup</v>
      </c>
    </row>
    <row r="7" spans="1:12" ht="15.75" x14ac:dyDescent="0.25">
      <c r="A7" s="5" t="s">
        <v>56</v>
      </c>
      <c r="B7" t="s">
        <v>168</v>
      </c>
      <c r="C7">
        <v>6</v>
      </c>
      <c r="D7">
        <v>45</v>
      </c>
      <c r="E7" t="s">
        <v>173</v>
      </c>
      <c r="F7" t="s">
        <v>177</v>
      </c>
      <c r="G7" t="s">
        <v>42</v>
      </c>
      <c r="H7">
        <v>0</v>
      </c>
      <c r="I7">
        <v>0</v>
      </c>
      <c r="J7">
        <v>0</v>
      </c>
      <c r="L7" t="str">
        <f t="shared" si="0"/>
        <v>perlu peningkatan</v>
      </c>
    </row>
    <row r="8" spans="1:12" ht="15.75" x14ac:dyDescent="0.25">
      <c r="A8" s="5" t="s">
        <v>57</v>
      </c>
      <c r="B8" t="s">
        <v>6</v>
      </c>
      <c r="C8">
        <v>1</v>
      </c>
      <c r="D8">
        <v>65</v>
      </c>
      <c r="F8" t="s">
        <v>177</v>
      </c>
      <c r="G8" t="s">
        <v>42</v>
      </c>
      <c r="H8">
        <v>0</v>
      </c>
      <c r="I8">
        <v>0</v>
      </c>
      <c r="J8">
        <v>0</v>
      </c>
      <c r="L8" t="str">
        <f t="shared" si="0"/>
        <v>perlu peningkatan</v>
      </c>
    </row>
    <row r="9" spans="1:12" ht="15.75" x14ac:dyDescent="0.25">
      <c r="A9" s="5" t="s">
        <v>58</v>
      </c>
      <c r="B9" t="s">
        <v>169</v>
      </c>
      <c r="C9">
        <v>3</v>
      </c>
      <c r="D9">
        <v>80</v>
      </c>
      <c r="E9" t="s">
        <v>172</v>
      </c>
      <c r="F9" t="s">
        <v>176</v>
      </c>
      <c r="G9" t="s">
        <v>180</v>
      </c>
      <c r="H9">
        <v>0</v>
      </c>
      <c r="I9">
        <v>0</v>
      </c>
      <c r="J9">
        <v>0</v>
      </c>
      <c r="L9" t="str">
        <f t="shared" si="0"/>
        <v>baik</v>
      </c>
    </row>
    <row r="10" spans="1:12" ht="15.75" x14ac:dyDescent="0.25">
      <c r="A10" s="5" t="s">
        <v>59</v>
      </c>
      <c r="B10" t="s">
        <v>7</v>
      </c>
      <c r="C10">
        <v>2</v>
      </c>
      <c r="D10">
        <v>90</v>
      </c>
      <c r="F10" t="s">
        <v>177</v>
      </c>
      <c r="G10" t="s">
        <v>54</v>
      </c>
      <c r="H10">
        <v>0</v>
      </c>
      <c r="I10">
        <v>1</v>
      </c>
      <c r="J10">
        <v>0</v>
      </c>
      <c r="L10" t="str">
        <f t="shared" si="0"/>
        <v>sangat baik</v>
      </c>
    </row>
    <row r="11" spans="1:12" ht="15.75" x14ac:dyDescent="0.25">
      <c r="A11" s="5" t="s">
        <v>60</v>
      </c>
      <c r="B11" t="s">
        <v>168</v>
      </c>
      <c r="C11">
        <v>4</v>
      </c>
      <c r="D11">
        <v>65</v>
      </c>
      <c r="F11" t="s">
        <v>177</v>
      </c>
      <c r="G11" t="s">
        <v>42</v>
      </c>
      <c r="H11">
        <v>0</v>
      </c>
      <c r="I11">
        <v>0</v>
      </c>
      <c r="J11">
        <v>0</v>
      </c>
      <c r="L11" t="str">
        <f t="shared" si="0"/>
        <v>perlu peningkatan</v>
      </c>
    </row>
    <row r="12" spans="1:12" ht="15.75" x14ac:dyDescent="0.25">
      <c r="A12" s="5" t="s">
        <v>61</v>
      </c>
      <c r="B12" t="s">
        <v>6</v>
      </c>
      <c r="C12">
        <v>5</v>
      </c>
      <c r="D12">
        <v>75</v>
      </c>
      <c r="F12" t="s">
        <v>176</v>
      </c>
      <c r="G12" t="s">
        <v>42</v>
      </c>
      <c r="H12">
        <v>0</v>
      </c>
      <c r="I12">
        <v>0</v>
      </c>
      <c r="J12">
        <v>0</v>
      </c>
      <c r="L12" t="str">
        <f t="shared" si="0"/>
        <v>cukup</v>
      </c>
    </row>
    <row r="13" spans="1:12" ht="15.75" x14ac:dyDescent="0.25">
      <c r="A13" s="5" t="s">
        <v>62</v>
      </c>
      <c r="B13" t="s">
        <v>169</v>
      </c>
      <c r="C13">
        <v>6</v>
      </c>
      <c r="D13">
        <v>85</v>
      </c>
      <c r="F13" t="s">
        <v>177</v>
      </c>
      <c r="G13" t="s">
        <v>42</v>
      </c>
      <c r="H13">
        <v>1</v>
      </c>
      <c r="I13">
        <v>0</v>
      </c>
      <c r="J13">
        <v>0</v>
      </c>
      <c r="L13" t="str">
        <f t="shared" si="0"/>
        <v>baik</v>
      </c>
    </row>
    <row r="14" spans="1:12" ht="15.75" x14ac:dyDescent="0.25">
      <c r="A14" s="5" t="s">
        <v>63</v>
      </c>
      <c r="B14" t="s">
        <v>7</v>
      </c>
      <c r="C14">
        <v>1</v>
      </c>
      <c r="D14">
        <v>75</v>
      </c>
      <c r="F14" t="s">
        <v>177</v>
      </c>
      <c r="G14" t="s">
        <v>42</v>
      </c>
      <c r="H14">
        <v>0</v>
      </c>
      <c r="I14">
        <v>0</v>
      </c>
      <c r="J14">
        <v>0</v>
      </c>
      <c r="L14" t="str">
        <f t="shared" si="0"/>
        <v>cukup</v>
      </c>
    </row>
    <row r="15" spans="1:12" ht="15.75" x14ac:dyDescent="0.25">
      <c r="A15" s="5" t="s">
        <v>64</v>
      </c>
      <c r="B15" t="s">
        <v>168</v>
      </c>
      <c r="C15">
        <v>3</v>
      </c>
      <c r="D15">
        <v>45</v>
      </c>
      <c r="E15" t="s">
        <v>172</v>
      </c>
      <c r="F15" t="s">
        <v>176</v>
      </c>
      <c r="G15" t="s">
        <v>42</v>
      </c>
      <c r="H15">
        <v>0</v>
      </c>
      <c r="I15">
        <v>2</v>
      </c>
      <c r="J15">
        <v>0</v>
      </c>
      <c r="L15" t="str">
        <f t="shared" si="0"/>
        <v>perlu peningkatan</v>
      </c>
    </row>
    <row r="16" spans="1:12" ht="15.75" x14ac:dyDescent="0.25">
      <c r="A16" s="5" t="s">
        <v>65</v>
      </c>
      <c r="B16" t="s">
        <v>6</v>
      </c>
      <c r="C16">
        <v>2</v>
      </c>
      <c r="D16">
        <v>65</v>
      </c>
      <c r="F16" t="s">
        <v>177</v>
      </c>
      <c r="G16" t="s">
        <v>42</v>
      </c>
      <c r="H16">
        <v>0</v>
      </c>
      <c r="I16">
        <v>0</v>
      </c>
      <c r="J16">
        <v>0</v>
      </c>
      <c r="L16" t="str">
        <f t="shared" si="0"/>
        <v>perlu peningkatan</v>
      </c>
    </row>
    <row r="17" spans="1:12" ht="15.75" x14ac:dyDescent="0.25">
      <c r="A17" s="5" t="s">
        <v>66</v>
      </c>
      <c r="B17" t="s">
        <v>169</v>
      </c>
      <c r="C17">
        <v>4</v>
      </c>
      <c r="D17">
        <v>80</v>
      </c>
      <c r="F17" t="s">
        <v>176</v>
      </c>
      <c r="G17" t="s">
        <v>42</v>
      </c>
      <c r="H17">
        <v>0</v>
      </c>
      <c r="I17">
        <v>0</v>
      </c>
      <c r="J17">
        <v>0</v>
      </c>
      <c r="L17" t="str">
        <f t="shared" si="0"/>
        <v>baik</v>
      </c>
    </row>
    <row r="18" spans="1:12" ht="15.75" x14ac:dyDescent="0.25">
      <c r="A18" s="5" t="s">
        <v>67</v>
      </c>
      <c r="B18" t="s">
        <v>7</v>
      </c>
      <c r="C18">
        <v>5</v>
      </c>
      <c r="D18">
        <v>90</v>
      </c>
      <c r="F18" t="s">
        <v>177</v>
      </c>
      <c r="G18" t="s">
        <v>42</v>
      </c>
      <c r="H18">
        <v>1</v>
      </c>
      <c r="I18">
        <v>0</v>
      </c>
      <c r="J18">
        <v>0</v>
      </c>
      <c r="L18" t="str">
        <f t="shared" si="0"/>
        <v>sangat baik</v>
      </c>
    </row>
    <row r="19" spans="1:12" ht="15.75" x14ac:dyDescent="0.25">
      <c r="A19" s="5" t="s">
        <v>68</v>
      </c>
      <c r="B19" t="s">
        <v>168</v>
      </c>
      <c r="C19">
        <v>6</v>
      </c>
      <c r="D19">
        <v>65</v>
      </c>
      <c r="E19" t="s">
        <v>173</v>
      </c>
      <c r="F19" t="s">
        <v>177</v>
      </c>
      <c r="G19" t="s">
        <v>41</v>
      </c>
      <c r="H19">
        <v>0</v>
      </c>
      <c r="I19">
        <v>0</v>
      </c>
      <c r="J19">
        <v>0</v>
      </c>
      <c r="L19" t="str">
        <f t="shared" si="0"/>
        <v>perlu peningkatan</v>
      </c>
    </row>
    <row r="20" spans="1:12" ht="15.75" x14ac:dyDescent="0.25">
      <c r="A20" s="5" t="s">
        <v>69</v>
      </c>
      <c r="B20" t="s">
        <v>6</v>
      </c>
      <c r="C20">
        <v>1</v>
      </c>
      <c r="D20">
        <v>75</v>
      </c>
      <c r="F20" t="s">
        <v>178</v>
      </c>
      <c r="G20" t="s">
        <v>48</v>
      </c>
      <c r="H20">
        <v>0</v>
      </c>
      <c r="I20">
        <v>0</v>
      </c>
      <c r="J20">
        <v>0</v>
      </c>
      <c r="L20" t="str">
        <f t="shared" si="0"/>
        <v>cukup</v>
      </c>
    </row>
    <row r="21" spans="1:12" ht="15.75" x14ac:dyDescent="0.25">
      <c r="A21" s="5" t="s">
        <v>70</v>
      </c>
      <c r="B21" t="s">
        <v>169</v>
      </c>
      <c r="C21">
        <v>3</v>
      </c>
      <c r="D21">
        <v>85</v>
      </c>
      <c r="F21" t="s">
        <v>179</v>
      </c>
      <c r="G21" t="s">
        <v>42</v>
      </c>
      <c r="H21">
        <v>0</v>
      </c>
      <c r="I21">
        <v>0</v>
      </c>
      <c r="J21">
        <v>0</v>
      </c>
      <c r="L21" t="str">
        <f t="shared" si="0"/>
        <v>baik</v>
      </c>
    </row>
    <row r="22" spans="1:12" ht="15.75" x14ac:dyDescent="0.25">
      <c r="A22" s="5" t="s">
        <v>71</v>
      </c>
      <c r="B22" t="s">
        <v>7</v>
      </c>
      <c r="C22">
        <v>2</v>
      </c>
      <c r="D22">
        <v>75</v>
      </c>
      <c r="F22" t="s">
        <v>176</v>
      </c>
      <c r="G22" t="s">
        <v>42</v>
      </c>
      <c r="H22">
        <v>0</v>
      </c>
      <c r="I22">
        <v>0</v>
      </c>
      <c r="J22">
        <v>0</v>
      </c>
      <c r="L22" t="str">
        <f t="shared" si="0"/>
        <v>cukup</v>
      </c>
    </row>
    <row r="23" spans="1:12" ht="15.75" x14ac:dyDescent="0.25">
      <c r="A23" s="5" t="s">
        <v>72</v>
      </c>
      <c r="B23" t="s">
        <v>168</v>
      </c>
      <c r="C23">
        <v>4</v>
      </c>
      <c r="D23">
        <v>45</v>
      </c>
      <c r="F23" t="s">
        <v>177</v>
      </c>
      <c r="G23" t="s">
        <v>180</v>
      </c>
      <c r="H23">
        <v>0</v>
      </c>
      <c r="I23">
        <v>0</v>
      </c>
      <c r="J23">
        <v>1</v>
      </c>
      <c r="L23" t="str">
        <f t="shared" si="0"/>
        <v>perlu peningkatan</v>
      </c>
    </row>
    <row r="24" spans="1:12" ht="15.75" x14ac:dyDescent="0.25">
      <c r="A24" s="5" t="s">
        <v>73</v>
      </c>
      <c r="B24" t="s">
        <v>6</v>
      </c>
      <c r="C24">
        <v>5</v>
      </c>
      <c r="D24">
        <v>65</v>
      </c>
      <c r="E24" t="s">
        <v>174</v>
      </c>
      <c r="F24" t="s">
        <v>177</v>
      </c>
      <c r="G24" t="s">
        <v>54</v>
      </c>
      <c r="H24">
        <v>0</v>
      </c>
      <c r="I24">
        <v>0</v>
      </c>
      <c r="J24">
        <v>0</v>
      </c>
      <c r="L24" t="str">
        <f t="shared" si="0"/>
        <v>perlu peningkatan</v>
      </c>
    </row>
    <row r="25" spans="1:12" ht="15.75" x14ac:dyDescent="0.25">
      <c r="A25" s="5" t="s">
        <v>74</v>
      </c>
      <c r="B25" t="s">
        <v>169</v>
      </c>
      <c r="C25">
        <v>6</v>
      </c>
      <c r="D25">
        <v>80</v>
      </c>
      <c r="F25" t="s">
        <v>176</v>
      </c>
      <c r="G25" t="s">
        <v>42</v>
      </c>
      <c r="H25">
        <v>0</v>
      </c>
      <c r="I25">
        <v>1</v>
      </c>
      <c r="J25">
        <v>0</v>
      </c>
      <c r="L25" t="str">
        <f t="shared" si="0"/>
        <v>baik</v>
      </c>
    </row>
    <row r="26" spans="1:12" ht="15.75" x14ac:dyDescent="0.25">
      <c r="A26" s="5" t="s">
        <v>75</v>
      </c>
      <c r="B26" t="s">
        <v>7</v>
      </c>
      <c r="C26">
        <v>1</v>
      </c>
      <c r="D26">
        <v>90</v>
      </c>
      <c r="F26" t="s">
        <v>177</v>
      </c>
      <c r="G26" t="s">
        <v>42</v>
      </c>
      <c r="H26">
        <v>2</v>
      </c>
      <c r="I26">
        <v>0</v>
      </c>
      <c r="J26">
        <v>0</v>
      </c>
      <c r="L26" t="str">
        <f t="shared" si="0"/>
        <v>sangat baik</v>
      </c>
    </row>
    <row r="27" spans="1:12" ht="15.75" x14ac:dyDescent="0.25">
      <c r="A27" s="5" t="s">
        <v>76</v>
      </c>
      <c r="B27" t="s">
        <v>168</v>
      </c>
      <c r="C27">
        <v>3</v>
      </c>
      <c r="D27">
        <v>65</v>
      </c>
      <c r="F27" t="s">
        <v>177</v>
      </c>
      <c r="G27" t="s">
        <v>180</v>
      </c>
      <c r="H27">
        <v>0</v>
      </c>
      <c r="I27">
        <v>0</v>
      </c>
      <c r="J27">
        <v>0</v>
      </c>
      <c r="L27" t="str">
        <f t="shared" si="0"/>
        <v>perlu peningkatan</v>
      </c>
    </row>
    <row r="28" spans="1:12" ht="15.75" x14ac:dyDescent="0.25">
      <c r="A28" s="5" t="s">
        <v>77</v>
      </c>
      <c r="B28" t="s">
        <v>6</v>
      </c>
      <c r="C28">
        <v>2</v>
      </c>
      <c r="D28">
        <v>75</v>
      </c>
      <c r="F28" t="s">
        <v>176</v>
      </c>
      <c r="G28" t="s">
        <v>54</v>
      </c>
      <c r="H28">
        <v>0</v>
      </c>
      <c r="I28">
        <v>0</v>
      </c>
      <c r="J28">
        <v>0</v>
      </c>
      <c r="L28" t="str">
        <f t="shared" si="0"/>
        <v>cukup</v>
      </c>
    </row>
    <row r="29" spans="1:12" ht="15.75" x14ac:dyDescent="0.25">
      <c r="A29" s="5" t="s">
        <v>78</v>
      </c>
      <c r="B29" t="s">
        <v>169</v>
      </c>
      <c r="C29">
        <v>4</v>
      </c>
      <c r="D29">
        <v>85</v>
      </c>
      <c r="F29" t="s">
        <v>177</v>
      </c>
      <c r="G29" t="s">
        <v>48</v>
      </c>
      <c r="H29">
        <v>0</v>
      </c>
      <c r="I29">
        <v>0</v>
      </c>
      <c r="J29">
        <v>0</v>
      </c>
      <c r="L29" t="str">
        <f t="shared" si="0"/>
        <v>baik</v>
      </c>
    </row>
    <row r="30" spans="1:12" ht="15.75" x14ac:dyDescent="0.25">
      <c r="A30" s="5" t="s">
        <v>79</v>
      </c>
      <c r="B30" t="s">
        <v>7</v>
      </c>
      <c r="C30">
        <v>5</v>
      </c>
      <c r="D30">
        <v>75</v>
      </c>
      <c r="F30" t="s">
        <v>177</v>
      </c>
      <c r="G30" t="s">
        <v>42</v>
      </c>
      <c r="H30">
        <v>0</v>
      </c>
      <c r="I30">
        <v>0</v>
      </c>
      <c r="J30">
        <v>0</v>
      </c>
      <c r="L30" t="str">
        <f t="shared" si="0"/>
        <v>cukup</v>
      </c>
    </row>
    <row r="31" spans="1:12" ht="15.75" x14ac:dyDescent="0.25">
      <c r="A31" s="5" t="s">
        <v>80</v>
      </c>
      <c r="B31" t="s">
        <v>168</v>
      </c>
      <c r="C31">
        <v>6</v>
      </c>
      <c r="D31">
        <v>85</v>
      </c>
      <c r="F31" t="s">
        <v>176</v>
      </c>
      <c r="G31" t="s">
        <v>42</v>
      </c>
      <c r="H31">
        <v>0</v>
      </c>
      <c r="I31">
        <v>0</v>
      </c>
      <c r="J31">
        <v>0</v>
      </c>
      <c r="L31" t="str">
        <f t="shared" si="0"/>
        <v>baik</v>
      </c>
    </row>
    <row r="32" spans="1:12" ht="15.75" x14ac:dyDescent="0.25">
      <c r="A32" s="5" t="s">
        <v>81</v>
      </c>
      <c r="B32" t="s">
        <v>6</v>
      </c>
      <c r="C32">
        <v>1</v>
      </c>
      <c r="D32">
        <v>75</v>
      </c>
      <c r="F32" t="s">
        <v>177</v>
      </c>
      <c r="G32" t="s">
        <v>42</v>
      </c>
      <c r="H32">
        <v>0</v>
      </c>
      <c r="I32">
        <v>0</v>
      </c>
      <c r="J32">
        <v>0</v>
      </c>
      <c r="L32" t="str">
        <f t="shared" si="0"/>
        <v>cukup</v>
      </c>
    </row>
    <row r="33" spans="1:12" ht="15.75" x14ac:dyDescent="0.25">
      <c r="A33" s="5" t="s">
        <v>82</v>
      </c>
      <c r="B33" t="s">
        <v>169</v>
      </c>
      <c r="C33">
        <v>3</v>
      </c>
      <c r="D33">
        <v>45</v>
      </c>
      <c r="F33" t="s">
        <v>176</v>
      </c>
      <c r="G33" t="s">
        <v>42</v>
      </c>
      <c r="H33">
        <v>4</v>
      </c>
      <c r="I33">
        <v>0</v>
      </c>
      <c r="J33">
        <v>0</v>
      </c>
      <c r="L33" t="str">
        <f t="shared" si="0"/>
        <v>perlu peningkatan</v>
      </c>
    </row>
    <row r="34" spans="1:12" ht="15.75" x14ac:dyDescent="0.25">
      <c r="A34" s="5" t="s">
        <v>83</v>
      </c>
      <c r="B34" t="s">
        <v>7</v>
      </c>
      <c r="C34">
        <v>2</v>
      </c>
      <c r="D34">
        <v>65</v>
      </c>
      <c r="F34" t="s">
        <v>177</v>
      </c>
      <c r="G34" t="s">
        <v>42</v>
      </c>
      <c r="H34">
        <v>0</v>
      </c>
      <c r="I34">
        <v>0</v>
      </c>
      <c r="J34">
        <v>0</v>
      </c>
      <c r="L34" t="str">
        <f t="shared" si="0"/>
        <v>perlu peningkatan</v>
      </c>
    </row>
    <row r="35" spans="1:12" ht="15.75" x14ac:dyDescent="0.25">
      <c r="A35" s="5" t="s">
        <v>84</v>
      </c>
      <c r="B35" t="s">
        <v>168</v>
      </c>
      <c r="C35">
        <v>4</v>
      </c>
      <c r="D35">
        <v>80</v>
      </c>
      <c r="F35" t="s">
        <v>177</v>
      </c>
      <c r="G35" t="s">
        <v>42</v>
      </c>
      <c r="H35">
        <v>0</v>
      </c>
      <c r="I35">
        <v>0</v>
      </c>
      <c r="J35">
        <v>0</v>
      </c>
      <c r="L35" t="str">
        <f t="shared" si="0"/>
        <v>baik</v>
      </c>
    </row>
    <row r="36" spans="1:12" ht="15.75" x14ac:dyDescent="0.25">
      <c r="A36" s="5" t="s">
        <v>85</v>
      </c>
      <c r="B36" t="s">
        <v>6</v>
      </c>
      <c r="C36">
        <v>5</v>
      </c>
      <c r="D36">
        <v>90</v>
      </c>
      <c r="F36" t="s">
        <v>178</v>
      </c>
      <c r="G36" t="s">
        <v>42</v>
      </c>
      <c r="H36">
        <v>0</v>
      </c>
      <c r="I36">
        <v>0</v>
      </c>
      <c r="J36">
        <v>0</v>
      </c>
      <c r="L36" t="str">
        <f t="shared" si="0"/>
        <v>sangat baik</v>
      </c>
    </row>
    <row r="37" spans="1:12" ht="15.75" x14ac:dyDescent="0.25">
      <c r="A37" s="5" t="s">
        <v>86</v>
      </c>
      <c r="B37" t="s">
        <v>169</v>
      </c>
      <c r="C37">
        <v>6</v>
      </c>
      <c r="D37">
        <v>65</v>
      </c>
      <c r="F37" t="s">
        <v>179</v>
      </c>
      <c r="G37" t="s">
        <v>42</v>
      </c>
      <c r="H37">
        <v>0</v>
      </c>
      <c r="I37">
        <v>0</v>
      </c>
      <c r="J37">
        <v>0</v>
      </c>
      <c r="L37" t="str">
        <f t="shared" si="0"/>
        <v>perlu peningkatan</v>
      </c>
    </row>
    <row r="38" spans="1:12" ht="15.75" x14ac:dyDescent="0.25">
      <c r="A38" s="5" t="s">
        <v>87</v>
      </c>
      <c r="B38" t="s">
        <v>7</v>
      </c>
      <c r="C38">
        <v>1</v>
      </c>
      <c r="D38">
        <v>75</v>
      </c>
      <c r="F38" t="s">
        <v>176</v>
      </c>
      <c r="G38" t="s">
        <v>41</v>
      </c>
      <c r="H38">
        <v>0</v>
      </c>
      <c r="I38">
        <v>1</v>
      </c>
      <c r="J38">
        <v>0</v>
      </c>
      <c r="L38" t="str">
        <f t="shared" si="0"/>
        <v>cukup</v>
      </c>
    </row>
    <row r="39" spans="1:12" ht="15.75" x14ac:dyDescent="0.25">
      <c r="A39" s="5" t="s">
        <v>88</v>
      </c>
      <c r="B39" t="s">
        <v>168</v>
      </c>
      <c r="C39">
        <v>3</v>
      </c>
      <c r="D39">
        <v>85</v>
      </c>
      <c r="F39" t="s">
        <v>177</v>
      </c>
      <c r="G39" t="s">
        <v>42</v>
      </c>
      <c r="H39">
        <v>0</v>
      </c>
      <c r="I39">
        <v>0</v>
      </c>
      <c r="J39">
        <v>2</v>
      </c>
      <c r="L39" t="str">
        <f t="shared" si="0"/>
        <v>baik</v>
      </c>
    </row>
    <row r="40" spans="1:12" ht="15.75" x14ac:dyDescent="0.25">
      <c r="A40" s="5" t="s">
        <v>89</v>
      </c>
      <c r="B40" t="s">
        <v>6</v>
      </c>
      <c r="C40">
        <v>2</v>
      </c>
      <c r="D40">
        <v>75</v>
      </c>
      <c r="F40" t="s">
        <v>177</v>
      </c>
      <c r="G40" t="s">
        <v>42</v>
      </c>
      <c r="H40">
        <v>0</v>
      </c>
      <c r="I40">
        <v>0</v>
      </c>
      <c r="J40">
        <v>0</v>
      </c>
      <c r="L40" t="str">
        <f t="shared" si="0"/>
        <v>cukup</v>
      </c>
    </row>
    <row r="41" spans="1:12" ht="15.75" x14ac:dyDescent="0.25">
      <c r="A41" s="5" t="s">
        <v>90</v>
      </c>
      <c r="B41" t="s">
        <v>169</v>
      </c>
      <c r="C41">
        <v>4</v>
      </c>
      <c r="D41">
        <v>45</v>
      </c>
      <c r="F41" t="s">
        <v>176</v>
      </c>
      <c r="G41" t="s">
        <v>42</v>
      </c>
      <c r="H41">
        <v>0</v>
      </c>
      <c r="I41">
        <v>0</v>
      </c>
      <c r="J41">
        <v>0</v>
      </c>
      <c r="L41" t="str">
        <f t="shared" si="0"/>
        <v>perlu peningkatan</v>
      </c>
    </row>
    <row r="42" spans="1:12" ht="15.75" x14ac:dyDescent="0.25">
      <c r="A42" s="5" t="s">
        <v>91</v>
      </c>
      <c r="B42" t="s">
        <v>7</v>
      </c>
      <c r="C42">
        <v>5</v>
      </c>
      <c r="D42">
        <v>95</v>
      </c>
      <c r="F42" t="s">
        <v>177</v>
      </c>
      <c r="G42" t="s">
        <v>42</v>
      </c>
      <c r="H42">
        <v>0</v>
      </c>
      <c r="I42">
        <v>0</v>
      </c>
      <c r="J42">
        <v>0</v>
      </c>
      <c r="L42" t="str">
        <f t="shared" si="0"/>
        <v>sangat baik</v>
      </c>
    </row>
    <row r="43" spans="1:12" ht="15.75" x14ac:dyDescent="0.25">
      <c r="A43" s="5" t="s">
        <v>92</v>
      </c>
      <c r="B43" t="s">
        <v>168</v>
      </c>
      <c r="C43">
        <v>6</v>
      </c>
      <c r="D43">
        <v>55</v>
      </c>
      <c r="E43" t="s">
        <v>173</v>
      </c>
      <c r="F43" t="s">
        <v>177</v>
      </c>
      <c r="G43" t="s">
        <v>42</v>
      </c>
      <c r="H43">
        <v>0</v>
      </c>
      <c r="I43">
        <v>0</v>
      </c>
      <c r="J43">
        <v>0</v>
      </c>
      <c r="L43" t="str">
        <f t="shared" si="0"/>
        <v>perlu peningkatan</v>
      </c>
    </row>
    <row r="44" spans="1:12" ht="15.75" x14ac:dyDescent="0.25">
      <c r="A44" s="5" t="s">
        <v>93</v>
      </c>
      <c r="B44" t="s">
        <v>6</v>
      </c>
      <c r="C44">
        <v>1</v>
      </c>
      <c r="D44">
        <v>86</v>
      </c>
      <c r="F44" t="s">
        <v>176</v>
      </c>
      <c r="G44" t="s">
        <v>42</v>
      </c>
      <c r="H44">
        <v>3</v>
      </c>
      <c r="I44">
        <v>0</v>
      </c>
      <c r="J44">
        <v>0</v>
      </c>
      <c r="L44" t="str">
        <f t="shared" si="0"/>
        <v>baik</v>
      </c>
    </row>
    <row r="45" spans="1:12" ht="15.75" x14ac:dyDescent="0.25">
      <c r="A45" s="5" t="s">
        <v>94</v>
      </c>
      <c r="B45" t="s">
        <v>169</v>
      </c>
      <c r="C45">
        <v>3</v>
      </c>
      <c r="D45">
        <v>90</v>
      </c>
      <c r="F45" t="s">
        <v>177</v>
      </c>
      <c r="G45" t="s">
        <v>42</v>
      </c>
      <c r="H45">
        <v>0</v>
      </c>
      <c r="I45">
        <v>0</v>
      </c>
      <c r="J45">
        <v>0</v>
      </c>
      <c r="L45" t="str">
        <f t="shared" si="0"/>
        <v>sangat baik</v>
      </c>
    </row>
    <row r="46" spans="1:12" ht="15.75" x14ac:dyDescent="0.25">
      <c r="A46" s="5" t="s">
        <v>95</v>
      </c>
      <c r="B46" t="s">
        <v>7</v>
      </c>
      <c r="C46">
        <v>2</v>
      </c>
      <c r="D46">
        <v>65</v>
      </c>
      <c r="F46" t="s">
        <v>177</v>
      </c>
      <c r="G46" t="s">
        <v>42</v>
      </c>
      <c r="H46">
        <v>0</v>
      </c>
      <c r="I46">
        <v>0</v>
      </c>
      <c r="J46">
        <v>0</v>
      </c>
      <c r="L46" t="str">
        <f t="shared" si="0"/>
        <v>perlu peningkatan</v>
      </c>
    </row>
    <row r="47" spans="1:12" ht="15.75" x14ac:dyDescent="0.25">
      <c r="A47" s="5" t="s">
        <v>96</v>
      </c>
      <c r="B47" t="s">
        <v>168</v>
      </c>
      <c r="C47">
        <v>4</v>
      </c>
      <c r="D47">
        <v>80</v>
      </c>
      <c r="F47" t="s">
        <v>176</v>
      </c>
      <c r="G47" t="s">
        <v>41</v>
      </c>
      <c r="H47">
        <v>0</v>
      </c>
      <c r="I47">
        <v>1</v>
      </c>
      <c r="J47">
        <v>0</v>
      </c>
      <c r="L47" t="str">
        <f t="shared" si="0"/>
        <v>baik</v>
      </c>
    </row>
    <row r="48" spans="1:12" ht="15.75" x14ac:dyDescent="0.25">
      <c r="A48" s="5" t="s">
        <v>97</v>
      </c>
      <c r="B48" t="s">
        <v>6</v>
      </c>
      <c r="C48">
        <v>5</v>
      </c>
      <c r="D48">
        <v>65</v>
      </c>
      <c r="F48" t="s">
        <v>177</v>
      </c>
      <c r="G48" t="s">
        <v>42</v>
      </c>
      <c r="H48">
        <v>1</v>
      </c>
      <c r="I48">
        <v>0</v>
      </c>
      <c r="J48">
        <v>0</v>
      </c>
      <c r="L48" t="str">
        <f t="shared" si="0"/>
        <v>perlu peningkatan</v>
      </c>
    </row>
    <row r="49" spans="1:12" ht="15.75" x14ac:dyDescent="0.25">
      <c r="A49" s="5" t="s">
        <v>98</v>
      </c>
      <c r="B49" t="s">
        <v>169</v>
      </c>
      <c r="C49">
        <v>6</v>
      </c>
      <c r="D49">
        <v>75</v>
      </c>
      <c r="F49" t="s">
        <v>176</v>
      </c>
      <c r="G49" t="s">
        <v>42</v>
      </c>
      <c r="H49">
        <v>0</v>
      </c>
      <c r="I49">
        <v>0</v>
      </c>
      <c r="J49">
        <v>0</v>
      </c>
      <c r="L49" t="str">
        <f t="shared" si="0"/>
        <v>cukup</v>
      </c>
    </row>
    <row r="50" spans="1:12" ht="15.75" x14ac:dyDescent="0.25">
      <c r="A50" s="5" t="s">
        <v>99</v>
      </c>
      <c r="B50" t="s">
        <v>7</v>
      </c>
      <c r="C50">
        <v>1</v>
      </c>
      <c r="D50">
        <v>85</v>
      </c>
      <c r="F50" t="s">
        <v>177</v>
      </c>
      <c r="G50" t="s">
        <v>42</v>
      </c>
      <c r="H50">
        <v>0</v>
      </c>
      <c r="I50">
        <v>0</v>
      </c>
      <c r="J50">
        <v>0</v>
      </c>
      <c r="L50" t="str">
        <f t="shared" si="0"/>
        <v>baik</v>
      </c>
    </row>
    <row r="51" spans="1:12" ht="15.75" x14ac:dyDescent="0.25">
      <c r="A51" s="5" t="s">
        <v>100</v>
      </c>
      <c r="B51" t="s">
        <v>168</v>
      </c>
      <c r="C51">
        <v>3</v>
      </c>
      <c r="D51">
        <v>75</v>
      </c>
      <c r="F51" t="s">
        <v>177</v>
      </c>
      <c r="G51" t="s">
        <v>42</v>
      </c>
      <c r="H51">
        <v>0</v>
      </c>
      <c r="I51">
        <v>0</v>
      </c>
      <c r="J51">
        <v>3</v>
      </c>
      <c r="L51" t="str">
        <f t="shared" si="0"/>
        <v>cukup</v>
      </c>
    </row>
    <row r="52" spans="1:12" ht="15.75" x14ac:dyDescent="0.25">
      <c r="A52" s="5" t="s">
        <v>101</v>
      </c>
      <c r="B52" t="s">
        <v>6</v>
      </c>
      <c r="C52">
        <v>2</v>
      </c>
      <c r="D52">
        <v>45</v>
      </c>
      <c r="F52" t="s">
        <v>178</v>
      </c>
      <c r="G52" t="s">
        <v>42</v>
      </c>
      <c r="H52">
        <v>0</v>
      </c>
      <c r="I52">
        <v>0</v>
      </c>
      <c r="J52">
        <v>0</v>
      </c>
      <c r="L52" t="str">
        <f t="shared" si="0"/>
        <v>perlu peningkatan</v>
      </c>
    </row>
    <row r="53" spans="1:12" ht="15.75" x14ac:dyDescent="0.25">
      <c r="A53" s="5" t="s">
        <v>102</v>
      </c>
      <c r="B53" t="s">
        <v>169</v>
      </c>
      <c r="C53">
        <v>4</v>
      </c>
      <c r="D53">
        <v>95</v>
      </c>
      <c r="F53" t="s">
        <v>179</v>
      </c>
      <c r="G53" t="s">
        <v>42</v>
      </c>
      <c r="H53">
        <v>2</v>
      </c>
      <c r="I53">
        <v>0</v>
      </c>
      <c r="J53">
        <v>0</v>
      </c>
      <c r="L53" t="str">
        <f t="shared" si="0"/>
        <v>sangat baik</v>
      </c>
    </row>
    <row r="54" spans="1:12" ht="15.75" x14ac:dyDescent="0.25">
      <c r="A54" s="5" t="s">
        <v>103</v>
      </c>
      <c r="B54" t="s">
        <v>7</v>
      </c>
      <c r="C54">
        <v>5</v>
      </c>
      <c r="D54">
        <v>55</v>
      </c>
      <c r="F54" t="s">
        <v>176</v>
      </c>
      <c r="G54" t="s">
        <v>42</v>
      </c>
      <c r="H54">
        <v>0</v>
      </c>
      <c r="I54">
        <v>2</v>
      </c>
      <c r="J54">
        <v>0</v>
      </c>
      <c r="L54" t="str">
        <f t="shared" si="0"/>
        <v>perlu peningkatan</v>
      </c>
    </row>
    <row r="55" spans="1:12" ht="15.75" x14ac:dyDescent="0.25">
      <c r="A55" s="5" t="s">
        <v>104</v>
      </c>
      <c r="B55" t="s">
        <v>168</v>
      </c>
      <c r="C55">
        <v>6</v>
      </c>
      <c r="D55">
        <v>86</v>
      </c>
      <c r="F55" t="s">
        <v>177</v>
      </c>
      <c r="G55" t="s">
        <v>42</v>
      </c>
      <c r="H55">
        <v>0</v>
      </c>
      <c r="I55">
        <v>0</v>
      </c>
      <c r="J55">
        <v>0</v>
      </c>
      <c r="L55" t="str">
        <f t="shared" si="0"/>
        <v>baik</v>
      </c>
    </row>
    <row r="56" spans="1:12" ht="15.75" x14ac:dyDescent="0.25">
      <c r="A56" s="5" t="s">
        <v>105</v>
      </c>
      <c r="B56" t="s">
        <v>6</v>
      </c>
      <c r="C56">
        <v>1</v>
      </c>
      <c r="D56">
        <v>90</v>
      </c>
      <c r="F56" t="s">
        <v>177</v>
      </c>
      <c r="G56" t="s">
        <v>42</v>
      </c>
      <c r="H56">
        <v>0</v>
      </c>
      <c r="I56">
        <v>0</v>
      </c>
      <c r="J56">
        <v>0</v>
      </c>
      <c r="L56" t="str">
        <f t="shared" si="0"/>
        <v>sangat baik</v>
      </c>
    </row>
    <row r="57" spans="1:12" ht="15.75" x14ac:dyDescent="0.25">
      <c r="A57" s="5" t="s">
        <v>106</v>
      </c>
      <c r="B57" t="s">
        <v>169</v>
      </c>
      <c r="C57">
        <v>3</v>
      </c>
      <c r="D57">
        <v>65</v>
      </c>
      <c r="F57" t="s">
        <v>176</v>
      </c>
      <c r="G57" t="s">
        <v>42</v>
      </c>
      <c r="H57">
        <v>0</v>
      </c>
      <c r="I57">
        <v>0</v>
      </c>
      <c r="J57">
        <v>0</v>
      </c>
      <c r="L57" t="str">
        <f t="shared" si="0"/>
        <v>perlu peningkatan</v>
      </c>
    </row>
    <row r="58" spans="1:12" ht="15.75" x14ac:dyDescent="0.25">
      <c r="A58" s="5" t="s">
        <v>107</v>
      </c>
      <c r="B58" t="s">
        <v>7</v>
      </c>
      <c r="C58">
        <v>2</v>
      </c>
      <c r="D58">
        <v>80</v>
      </c>
      <c r="F58" t="s">
        <v>177</v>
      </c>
      <c r="G58" t="s">
        <v>42</v>
      </c>
      <c r="H58">
        <v>0</v>
      </c>
      <c r="I58">
        <v>0</v>
      </c>
      <c r="J58">
        <v>0</v>
      </c>
      <c r="L58" t="str">
        <f t="shared" si="0"/>
        <v>baik</v>
      </c>
    </row>
    <row r="59" spans="1:12" ht="15.75" x14ac:dyDescent="0.25">
      <c r="A59" s="5" t="s">
        <v>108</v>
      </c>
      <c r="B59" t="s">
        <v>168</v>
      </c>
      <c r="C59">
        <v>4</v>
      </c>
      <c r="D59">
        <v>65</v>
      </c>
      <c r="F59" t="s">
        <v>177</v>
      </c>
      <c r="G59" t="s">
        <v>42</v>
      </c>
      <c r="H59">
        <v>0</v>
      </c>
      <c r="I59">
        <v>0</v>
      </c>
      <c r="J59">
        <v>0</v>
      </c>
      <c r="L59" t="str">
        <f t="shared" si="0"/>
        <v>perlu peningkatan</v>
      </c>
    </row>
    <row r="60" spans="1:12" ht="15.75" x14ac:dyDescent="0.25">
      <c r="A60" s="5" t="s">
        <v>109</v>
      </c>
      <c r="B60" t="s">
        <v>6</v>
      </c>
      <c r="C60">
        <v>5</v>
      </c>
      <c r="D60">
        <v>75</v>
      </c>
      <c r="F60" t="s">
        <v>176</v>
      </c>
      <c r="G60" t="s">
        <v>41</v>
      </c>
      <c r="H60">
        <v>0</v>
      </c>
      <c r="I60">
        <v>0</v>
      </c>
      <c r="J60">
        <v>0</v>
      </c>
      <c r="L60" t="str">
        <f t="shared" si="0"/>
        <v>cukup</v>
      </c>
    </row>
    <row r="61" spans="1:12" ht="15.75" x14ac:dyDescent="0.25">
      <c r="A61" s="5" t="s">
        <v>110</v>
      </c>
      <c r="B61" t="s">
        <v>169</v>
      </c>
      <c r="C61">
        <v>6</v>
      </c>
      <c r="D61">
        <v>85</v>
      </c>
      <c r="F61" t="s">
        <v>177</v>
      </c>
      <c r="G61" t="s">
        <v>42</v>
      </c>
      <c r="H61">
        <v>0</v>
      </c>
      <c r="I61">
        <v>0</v>
      </c>
      <c r="J61">
        <v>0</v>
      </c>
      <c r="L61" t="str">
        <f t="shared" si="0"/>
        <v>baik</v>
      </c>
    </row>
    <row r="62" spans="1:12" ht="15.75" x14ac:dyDescent="0.25">
      <c r="A62" s="5" t="s">
        <v>111</v>
      </c>
      <c r="B62" t="s">
        <v>7</v>
      </c>
      <c r="C62">
        <v>1</v>
      </c>
      <c r="D62">
        <v>75</v>
      </c>
      <c r="F62" t="s">
        <v>177</v>
      </c>
      <c r="G62" t="s">
        <v>42</v>
      </c>
      <c r="H62">
        <v>0</v>
      </c>
      <c r="I62">
        <v>0</v>
      </c>
      <c r="J62">
        <v>0</v>
      </c>
      <c r="L62" t="str">
        <f t="shared" si="0"/>
        <v>cukup</v>
      </c>
    </row>
    <row r="63" spans="1:12" ht="15.75" x14ac:dyDescent="0.25">
      <c r="A63" s="5" t="s">
        <v>112</v>
      </c>
      <c r="B63" t="s">
        <v>168</v>
      </c>
      <c r="C63">
        <v>3</v>
      </c>
      <c r="D63">
        <v>45</v>
      </c>
      <c r="F63" t="s">
        <v>176</v>
      </c>
      <c r="G63" t="s">
        <v>42</v>
      </c>
      <c r="H63">
        <v>0</v>
      </c>
      <c r="I63">
        <v>0</v>
      </c>
      <c r="J63">
        <v>0</v>
      </c>
      <c r="L63" t="str">
        <f t="shared" si="0"/>
        <v>perlu peningkatan</v>
      </c>
    </row>
    <row r="64" spans="1:12" ht="15.75" x14ac:dyDescent="0.25">
      <c r="A64" s="5" t="s">
        <v>113</v>
      </c>
      <c r="B64" t="s">
        <v>6</v>
      </c>
      <c r="C64">
        <v>2</v>
      </c>
      <c r="D64">
        <v>95</v>
      </c>
      <c r="F64" t="s">
        <v>177</v>
      </c>
      <c r="G64" t="s">
        <v>42</v>
      </c>
      <c r="H64">
        <v>0</v>
      </c>
      <c r="I64">
        <v>3</v>
      </c>
      <c r="J64">
        <v>0</v>
      </c>
      <c r="L64" t="str">
        <f t="shared" si="0"/>
        <v>sangat baik</v>
      </c>
    </row>
    <row r="65" spans="1:12" ht="15.75" x14ac:dyDescent="0.25">
      <c r="A65" s="5" t="s">
        <v>114</v>
      </c>
      <c r="B65" t="s">
        <v>169</v>
      </c>
      <c r="C65">
        <v>4</v>
      </c>
      <c r="D65">
        <v>55</v>
      </c>
      <c r="F65" t="s">
        <v>176</v>
      </c>
      <c r="G65" t="s">
        <v>41</v>
      </c>
      <c r="H65">
        <v>1</v>
      </c>
      <c r="I65">
        <v>0</v>
      </c>
      <c r="J65">
        <v>0</v>
      </c>
      <c r="L65" t="str">
        <f t="shared" si="0"/>
        <v>perlu peningkatan</v>
      </c>
    </row>
    <row r="66" spans="1:12" ht="15.75" x14ac:dyDescent="0.25">
      <c r="A66" s="5" t="s">
        <v>115</v>
      </c>
      <c r="B66" t="s">
        <v>7</v>
      </c>
      <c r="C66">
        <v>5</v>
      </c>
      <c r="D66">
        <v>86</v>
      </c>
      <c r="F66" t="s">
        <v>177</v>
      </c>
      <c r="G66" t="s">
        <v>42</v>
      </c>
      <c r="H66">
        <v>0</v>
      </c>
      <c r="I66">
        <v>0</v>
      </c>
      <c r="J66">
        <v>0</v>
      </c>
      <c r="L66" t="str">
        <f t="shared" si="0"/>
        <v>baik</v>
      </c>
    </row>
    <row r="67" spans="1:12" ht="15.75" x14ac:dyDescent="0.25">
      <c r="A67" s="5" t="s">
        <v>116</v>
      </c>
      <c r="B67" t="s">
        <v>168</v>
      </c>
      <c r="C67">
        <v>6</v>
      </c>
      <c r="D67">
        <v>90</v>
      </c>
      <c r="F67" t="s">
        <v>177</v>
      </c>
      <c r="G67" t="s">
        <v>42</v>
      </c>
      <c r="H67">
        <v>0</v>
      </c>
      <c r="I67">
        <v>0</v>
      </c>
      <c r="J67">
        <v>0</v>
      </c>
      <c r="L67" t="str">
        <f t="shared" ref="L67:L101" si="1">IF(D67&gt;=90,"sangat baik",IF(D67&gt;=80,"baik",IF(D67&gt;=70,"cukup","perlu peningkatan")))</f>
        <v>sangat baik</v>
      </c>
    </row>
    <row r="68" spans="1:12" ht="15.75" x14ac:dyDescent="0.25">
      <c r="A68" s="5" t="s">
        <v>117</v>
      </c>
      <c r="B68" t="s">
        <v>6</v>
      </c>
      <c r="C68">
        <v>1</v>
      </c>
      <c r="D68">
        <v>65</v>
      </c>
      <c r="F68" t="s">
        <v>178</v>
      </c>
      <c r="G68" t="s">
        <v>42</v>
      </c>
      <c r="H68">
        <v>0</v>
      </c>
      <c r="I68">
        <v>0</v>
      </c>
      <c r="J68">
        <v>0</v>
      </c>
      <c r="L68" t="str">
        <f t="shared" si="1"/>
        <v>perlu peningkatan</v>
      </c>
    </row>
    <row r="69" spans="1:12" ht="15.75" x14ac:dyDescent="0.25">
      <c r="A69" s="5" t="s">
        <v>118</v>
      </c>
      <c r="B69" t="s">
        <v>169</v>
      </c>
      <c r="C69">
        <v>3</v>
      </c>
      <c r="D69">
        <v>80</v>
      </c>
      <c r="F69" t="s">
        <v>179</v>
      </c>
      <c r="G69" t="s">
        <v>42</v>
      </c>
      <c r="H69">
        <v>0</v>
      </c>
      <c r="I69">
        <v>0</v>
      </c>
      <c r="J69">
        <v>0</v>
      </c>
      <c r="L69" t="str">
        <f t="shared" si="1"/>
        <v>baik</v>
      </c>
    </row>
    <row r="70" spans="1:12" ht="15.75" x14ac:dyDescent="0.25">
      <c r="A70" s="5" t="s">
        <v>119</v>
      </c>
      <c r="B70" t="s">
        <v>7</v>
      </c>
      <c r="C70">
        <v>2</v>
      </c>
      <c r="D70">
        <v>65</v>
      </c>
      <c r="F70" t="s">
        <v>176</v>
      </c>
      <c r="G70" t="s">
        <v>42</v>
      </c>
      <c r="H70">
        <v>0</v>
      </c>
      <c r="I70">
        <v>0</v>
      </c>
      <c r="J70">
        <v>0</v>
      </c>
      <c r="L70" t="str">
        <f t="shared" si="1"/>
        <v>perlu peningkatan</v>
      </c>
    </row>
    <row r="71" spans="1:12" ht="15.75" x14ac:dyDescent="0.25">
      <c r="A71" s="5" t="s">
        <v>120</v>
      </c>
      <c r="B71" t="s">
        <v>168</v>
      </c>
      <c r="C71">
        <v>4</v>
      </c>
      <c r="D71">
        <v>75</v>
      </c>
      <c r="F71" t="s">
        <v>177</v>
      </c>
      <c r="G71" t="s">
        <v>42</v>
      </c>
      <c r="H71">
        <v>0</v>
      </c>
      <c r="I71">
        <v>0</v>
      </c>
      <c r="J71">
        <v>0</v>
      </c>
      <c r="L71" t="str">
        <f t="shared" si="1"/>
        <v>cukup</v>
      </c>
    </row>
    <row r="72" spans="1:12" ht="15.75" x14ac:dyDescent="0.25">
      <c r="A72" s="5" t="s">
        <v>121</v>
      </c>
      <c r="B72" t="s">
        <v>6</v>
      </c>
      <c r="C72">
        <v>5</v>
      </c>
      <c r="D72">
        <v>85</v>
      </c>
      <c r="F72" t="s">
        <v>177</v>
      </c>
      <c r="G72" t="s">
        <v>42</v>
      </c>
      <c r="H72">
        <v>0</v>
      </c>
      <c r="I72">
        <v>0</v>
      </c>
      <c r="J72">
        <v>0</v>
      </c>
      <c r="L72" t="str">
        <f t="shared" si="1"/>
        <v>baik</v>
      </c>
    </row>
    <row r="73" spans="1:12" ht="15.75" x14ac:dyDescent="0.25">
      <c r="A73" s="5" t="s">
        <v>122</v>
      </c>
      <c r="B73" t="s">
        <v>169</v>
      </c>
      <c r="C73">
        <v>6</v>
      </c>
      <c r="D73">
        <v>75</v>
      </c>
      <c r="F73" t="s">
        <v>176</v>
      </c>
      <c r="G73" t="s">
        <v>42</v>
      </c>
      <c r="H73">
        <v>0</v>
      </c>
      <c r="I73">
        <v>0</v>
      </c>
      <c r="J73">
        <v>0</v>
      </c>
      <c r="L73" t="str">
        <f t="shared" si="1"/>
        <v>cukup</v>
      </c>
    </row>
    <row r="74" spans="1:12" ht="15.75" x14ac:dyDescent="0.25">
      <c r="A74" s="5" t="s">
        <v>123</v>
      </c>
      <c r="B74" t="s">
        <v>7</v>
      </c>
      <c r="C74">
        <v>1</v>
      </c>
      <c r="D74">
        <v>45</v>
      </c>
      <c r="F74" t="s">
        <v>177</v>
      </c>
      <c r="G74" t="s">
        <v>42</v>
      </c>
      <c r="H74">
        <v>0</v>
      </c>
      <c r="I74">
        <v>0</v>
      </c>
      <c r="J74">
        <v>0</v>
      </c>
      <c r="L74" t="str">
        <f t="shared" si="1"/>
        <v>perlu peningkatan</v>
      </c>
    </row>
    <row r="75" spans="1:12" ht="15.75" x14ac:dyDescent="0.25">
      <c r="A75" s="5" t="s">
        <v>124</v>
      </c>
      <c r="B75" t="s">
        <v>168</v>
      </c>
      <c r="C75">
        <v>3</v>
      </c>
      <c r="D75">
        <v>95</v>
      </c>
      <c r="F75" t="s">
        <v>177</v>
      </c>
      <c r="G75" t="s">
        <v>42</v>
      </c>
      <c r="H75">
        <v>0</v>
      </c>
      <c r="I75">
        <v>0</v>
      </c>
      <c r="J75">
        <v>0</v>
      </c>
      <c r="L75" t="str">
        <f t="shared" si="1"/>
        <v>sangat baik</v>
      </c>
    </row>
    <row r="76" spans="1:12" ht="15.75" x14ac:dyDescent="0.25">
      <c r="A76" s="5" t="s">
        <v>125</v>
      </c>
      <c r="B76" t="s">
        <v>6</v>
      </c>
      <c r="C76">
        <v>2</v>
      </c>
      <c r="D76">
        <v>55</v>
      </c>
      <c r="F76" t="s">
        <v>176</v>
      </c>
      <c r="G76" t="s">
        <v>42</v>
      </c>
      <c r="H76">
        <v>0</v>
      </c>
      <c r="I76">
        <v>0</v>
      </c>
      <c r="J76">
        <v>0</v>
      </c>
      <c r="L76" t="str">
        <f t="shared" si="1"/>
        <v>perlu peningkatan</v>
      </c>
    </row>
    <row r="77" spans="1:12" ht="15.75" x14ac:dyDescent="0.25">
      <c r="A77" s="5" t="s">
        <v>126</v>
      </c>
      <c r="B77" t="s">
        <v>169</v>
      </c>
      <c r="C77">
        <v>4</v>
      </c>
      <c r="D77">
        <v>86</v>
      </c>
      <c r="F77" t="s">
        <v>177</v>
      </c>
      <c r="G77" t="s">
        <v>42</v>
      </c>
      <c r="H77">
        <v>0</v>
      </c>
      <c r="I77">
        <v>0</v>
      </c>
      <c r="J77">
        <v>0</v>
      </c>
      <c r="L77" t="str">
        <f t="shared" si="1"/>
        <v>baik</v>
      </c>
    </row>
    <row r="78" spans="1:12" ht="15.75" x14ac:dyDescent="0.25">
      <c r="A78" s="5" t="s">
        <v>127</v>
      </c>
      <c r="B78" t="s">
        <v>7</v>
      </c>
      <c r="C78">
        <v>5</v>
      </c>
      <c r="D78">
        <v>90</v>
      </c>
      <c r="F78" t="s">
        <v>177</v>
      </c>
      <c r="G78" t="s">
        <v>42</v>
      </c>
      <c r="H78">
        <v>0</v>
      </c>
      <c r="I78">
        <v>0</v>
      </c>
      <c r="J78">
        <v>0</v>
      </c>
      <c r="L78" t="str">
        <f t="shared" si="1"/>
        <v>sangat baik</v>
      </c>
    </row>
    <row r="79" spans="1:12" ht="15.75" x14ac:dyDescent="0.25">
      <c r="A79" s="5" t="s">
        <v>128</v>
      </c>
      <c r="B79" t="s">
        <v>168</v>
      </c>
      <c r="C79">
        <v>6</v>
      </c>
      <c r="D79">
        <v>65</v>
      </c>
      <c r="F79" t="s">
        <v>176</v>
      </c>
      <c r="G79" t="s">
        <v>42</v>
      </c>
      <c r="H79">
        <v>1</v>
      </c>
      <c r="I79">
        <v>0</v>
      </c>
      <c r="J79">
        <v>0</v>
      </c>
      <c r="L79" t="str">
        <f t="shared" si="1"/>
        <v>perlu peningkatan</v>
      </c>
    </row>
    <row r="80" spans="1:12" ht="15.75" x14ac:dyDescent="0.25">
      <c r="A80" s="5" t="s">
        <v>129</v>
      </c>
      <c r="B80" t="s">
        <v>6</v>
      </c>
      <c r="C80">
        <v>1</v>
      </c>
      <c r="D80">
        <v>80</v>
      </c>
      <c r="F80" t="s">
        <v>177</v>
      </c>
      <c r="G80" t="s">
        <v>41</v>
      </c>
      <c r="H80">
        <v>0</v>
      </c>
      <c r="I80">
        <v>0</v>
      </c>
      <c r="J80">
        <v>0</v>
      </c>
      <c r="L80" t="str">
        <f t="shared" si="1"/>
        <v>baik</v>
      </c>
    </row>
    <row r="81" spans="1:12" ht="15.75" x14ac:dyDescent="0.25">
      <c r="A81" s="5" t="s">
        <v>130</v>
      </c>
      <c r="B81" t="s">
        <v>169</v>
      </c>
      <c r="C81">
        <v>3</v>
      </c>
      <c r="D81">
        <v>65</v>
      </c>
      <c r="F81" t="s">
        <v>176</v>
      </c>
      <c r="G81" t="s">
        <v>42</v>
      </c>
      <c r="H81">
        <v>0</v>
      </c>
      <c r="I81">
        <v>1</v>
      </c>
      <c r="J81">
        <v>0</v>
      </c>
      <c r="L81" t="str">
        <f t="shared" si="1"/>
        <v>perlu peningkatan</v>
      </c>
    </row>
    <row r="82" spans="1:12" ht="15.75" x14ac:dyDescent="0.25">
      <c r="A82" s="5" t="s">
        <v>131</v>
      </c>
      <c r="B82" t="s">
        <v>7</v>
      </c>
      <c r="C82">
        <v>2</v>
      </c>
      <c r="D82">
        <v>75</v>
      </c>
      <c r="F82" t="s">
        <v>177</v>
      </c>
      <c r="G82" t="s">
        <v>42</v>
      </c>
      <c r="H82">
        <v>0</v>
      </c>
      <c r="I82">
        <v>0</v>
      </c>
      <c r="J82">
        <v>1</v>
      </c>
      <c r="L82" t="str">
        <f t="shared" si="1"/>
        <v>cukup</v>
      </c>
    </row>
    <row r="83" spans="1:12" ht="15.75" x14ac:dyDescent="0.25">
      <c r="A83" s="5" t="s">
        <v>132</v>
      </c>
      <c r="B83" t="s">
        <v>168</v>
      </c>
      <c r="C83">
        <v>4</v>
      </c>
      <c r="D83">
        <v>85</v>
      </c>
      <c r="F83" t="s">
        <v>177</v>
      </c>
      <c r="G83" t="s">
        <v>42</v>
      </c>
      <c r="H83">
        <v>0</v>
      </c>
      <c r="I83">
        <v>0</v>
      </c>
      <c r="J83">
        <v>0</v>
      </c>
      <c r="L83" t="str">
        <f t="shared" si="1"/>
        <v>baik</v>
      </c>
    </row>
    <row r="84" spans="1:12" ht="15.75" x14ac:dyDescent="0.25">
      <c r="A84" s="5" t="s">
        <v>133</v>
      </c>
      <c r="B84" t="s">
        <v>6</v>
      </c>
      <c r="C84">
        <v>5</v>
      </c>
      <c r="D84">
        <v>75</v>
      </c>
      <c r="F84" t="s">
        <v>178</v>
      </c>
      <c r="G84" t="s">
        <v>42</v>
      </c>
      <c r="H84">
        <v>0</v>
      </c>
      <c r="I84">
        <v>0</v>
      </c>
      <c r="J84">
        <v>0</v>
      </c>
      <c r="L84" t="str">
        <f t="shared" si="1"/>
        <v>cukup</v>
      </c>
    </row>
    <row r="85" spans="1:12" ht="15.75" x14ac:dyDescent="0.25">
      <c r="A85" s="5" t="s">
        <v>134</v>
      </c>
      <c r="B85" t="s">
        <v>169</v>
      </c>
      <c r="C85">
        <v>6</v>
      </c>
      <c r="D85">
        <v>45</v>
      </c>
      <c r="F85" t="s">
        <v>179</v>
      </c>
      <c r="G85" t="s">
        <v>42</v>
      </c>
      <c r="H85">
        <v>0</v>
      </c>
      <c r="I85">
        <v>0</v>
      </c>
      <c r="J85">
        <v>0</v>
      </c>
      <c r="L85" t="str">
        <f t="shared" si="1"/>
        <v>perlu peningkatan</v>
      </c>
    </row>
    <row r="86" spans="1:12" ht="15.75" x14ac:dyDescent="0.25">
      <c r="A86" s="5" t="s">
        <v>135</v>
      </c>
      <c r="B86" t="s">
        <v>7</v>
      </c>
      <c r="C86">
        <v>1</v>
      </c>
      <c r="D86">
        <v>95</v>
      </c>
      <c r="F86" t="s">
        <v>176</v>
      </c>
      <c r="G86" t="s">
        <v>42</v>
      </c>
      <c r="H86">
        <v>0</v>
      </c>
      <c r="I86">
        <v>0</v>
      </c>
      <c r="J86">
        <v>0</v>
      </c>
      <c r="L86" t="str">
        <f t="shared" si="1"/>
        <v>sangat baik</v>
      </c>
    </row>
    <row r="87" spans="1:12" ht="15.75" x14ac:dyDescent="0.25">
      <c r="A87" s="5" t="s">
        <v>136</v>
      </c>
      <c r="B87" t="s">
        <v>168</v>
      </c>
      <c r="C87">
        <v>3</v>
      </c>
      <c r="D87">
        <v>55</v>
      </c>
      <c r="F87" t="s">
        <v>177</v>
      </c>
      <c r="G87" t="s">
        <v>42</v>
      </c>
      <c r="H87">
        <v>0</v>
      </c>
      <c r="I87">
        <v>0</v>
      </c>
      <c r="J87">
        <v>0</v>
      </c>
      <c r="L87" t="str">
        <f t="shared" si="1"/>
        <v>perlu peningkatan</v>
      </c>
    </row>
    <row r="88" spans="1:12" ht="15.75" x14ac:dyDescent="0.25">
      <c r="A88" s="5" t="s">
        <v>137</v>
      </c>
      <c r="B88" t="s">
        <v>6</v>
      </c>
      <c r="C88">
        <v>2</v>
      </c>
      <c r="D88">
        <v>86</v>
      </c>
      <c r="F88" t="s">
        <v>177</v>
      </c>
      <c r="G88" t="s">
        <v>42</v>
      </c>
      <c r="H88">
        <v>0</v>
      </c>
      <c r="I88">
        <v>0</v>
      </c>
      <c r="J88">
        <v>0</v>
      </c>
      <c r="L88" t="str">
        <f t="shared" si="1"/>
        <v>baik</v>
      </c>
    </row>
    <row r="89" spans="1:12" ht="15.75" x14ac:dyDescent="0.25">
      <c r="A89" s="5" t="s">
        <v>138</v>
      </c>
      <c r="B89" t="s">
        <v>169</v>
      </c>
      <c r="C89">
        <v>4</v>
      </c>
      <c r="D89">
        <v>90</v>
      </c>
      <c r="F89" t="s">
        <v>176</v>
      </c>
      <c r="G89" t="s">
        <v>41</v>
      </c>
      <c r="H89">
        <v>0</v>
      </c>
      <c r="I89">
        <v>0</v>
      </c>
      <c r="J89">
        <v>0</v>
      </c>
      <c r="L89" t="str">
        <f t="shared" si="1"/>
        <v>sangat baik</v>
      </c>
    </row>
    <row r="90" spans="1:12" ht="15.75" x14ac:dyDescent="0.25">
      <c r="A90" s="5" t="s">
        <v>139</v>
      </c>
      <c r="B90" t="s">
        <v>7</v>
      </c>
      <c r="C90">
        <v>5</v>
      </c>
      <c r="D90">
        <v>65</v>
      </c>
      <c r="F90" t="s">
        <v>177</v>
      </c>
      <c r="G90" t="s">
        <v>42</v>
      </c>
      <c r="H90">
        <v>2</v>
      </c>
      <c r="I90">
        <v>1</v>
      </c>
      <c r="J90">
        <v>0</v>
      </c>
      <c r="L90" t="str">
        <f t="shared" si="1"/>
        <v>perlu peningkatan</v>
      </c>
    </row>
    <row r="91" spans="1:12" ht="15.75" x14ac:dyDescent="0.25">
      <c r="A91" s="5" t="s">
        <v>140</v>
      </c>
      <c r="B91" t="s">
        <v>168</v>
      </c>
      <c r="C91">
        <v>6</v>
      </c>
      <c r="D91">
        <v>80</v>
      </c>
      <c r="F91" t="s">
        <v>177</v>
      </c>
      <c r="G91" t="s">
        <v>42</v>
      </c>
      <c r="H91">
        <v>0</v>
      </c>
      <c r="I91">
        <v>0</v>
      </c>
      <c r="J91">
        <v>0</v>
      </c>
      <c r="L91" t="str">
        <f t="shared" si="1"/>
        <v>baik</v>
      </c>
    </row>
    <row r="92" spans="1:12" ht="15.75" x14ac:dyDescent="0.25">
      <c r="A92" s="5" t="s">
        <v>141</v>
      </c>
      <c r="B92" t="s">
        <v>6</v>
      </c>
      <c r="C92">
        <v>6</v>
      </c>
      <c r="D92">
        <v>65</v>
      </c>
      <c r="F92" t="s">
        <v>176</v>
      </c>
      <c r="G92" t="s">
        <v>42</v>
      </c>
      <c r="H92">
        <v>0</v>
      </c>
      <c r="I92">
        <v>0</v>
      </c>
      <c r="J92">
        <v>0</v>
      </c>
      <c r="L92" t="str">
        <f t="shared" si="1"/>
        <v>perlu peningkatan</v>
      </c>
    </row>
    <row r="93" spans="1:12" ht="15.75" x14ac:dyDescent="0.25">
      <c r="A93" s="5" t="s">
        <v>142</v>
      </c>
      <c r="B93" t="s">
        <v>169</v>
      </c>
      <c r="C93">
        <v>1</v>
      </c>
      <c r="D93">
        <v>75</v>
      </c>
      <c r="F93" t="s">
        <v>177</v>
      </c>
      <c r="G93" t="s">
        <v>42</v>
      </c>
      <c r="H93">
        <v>0</v>
      </c>
      <c r="I93">
        <v>0</v>
      </c>
      <c r="J93">
        <v>0</v>
      </c>
      <c r="L93" t="str">
        <f t="shared" si="1"/>
        <v>cukup</v>
      </c>
    </row>
    <row r="94" spans="1:12" ht="15.75" x14ac:dyDescent="0.25">
      <c r="A94" s="5" t="s">
        <v>143</v>
      </c>
      <c r="B94" t="s">
        <v>7</v>
      </c>
      <c r="C94">
        <v>3</v>
      </c>
      <c r="D94">
        <v>85</v>
      </c>
      <c r="F94" t="s">
        <v>177</v>
      </c>
      <c r="G94" t="s">
        <v>42</v>
      </c>
      <c r="H94">
        <v>0</v>
      </c>
      <c r="I94">
        <v>0</v>
      </c>
      <c r="J94">
        <v>0</v>
      </c>
      <c r="L94" t="str">
        <f t="shared" si="1"/>
        <v>baik</v>
      </c>
    </row>
    <row r="95" spans="1:12" ht="15.75" x14ac:dyDescent="0.25">
      <c r="A95" s="5" t="s">
        <v>144</v>
      </c>
      <c r="B95" t="s">
        <v>168</v>
      </c>
      <c r="C95">
        <v>2</v>
      </c>
      <c r="D95">
        <v>75</v>
      </c>
      <c r="F95" t="s">
        <v>176</v>
      </c>
      <c r="G95" t="s">
        <v>42</v>
      </c>
      <c r="H95">
        <v>0</v>
      </c>
      <c r="I95">
        <v>0</v>
      </c>
      <c r="J95">
        <v>0</v>
      </c>
      <c r="L95" t="str">
        <f t="shared" si="1"/>
        <v>cukup</v>
      </c>
    </row>
    <row r="96" spans="1:12" ht="15.75" x14ac:dyDescent="0.25">
      <c r="A96" s="5" t="s">
        <v>145</v>
      </c>
      <c r="B96" t="s">
        <v>6</v>
      </c>
      <c r="C96">
        <v>4</v>
      </c>
      <c r="D96">
        <v>45</v>
      </c>
      <c r="F96" t="s">
        <v>177</v>
      </c>
      <c r="G96" t="s">
        <v>42</v>
      </c>
      <c r="H96">
        <v>0</v>
      </c>
      <c r="I96">
        <v>0</v>
      </c>
      <c r="J96">
        <v>0</v>
      </c>
      <c r="L96" t="str">
        <f t="shared" si="1"/>
        <v>perlu peningkatan</v>
      </c>
    </row>
    <row r="97" spans="1:12" ht="15.75" x14ac:dyDescent="0.25">
      <c r="A97" s="5" t="s">
        <v>146</v>
      </c>
      <c r="B97" t="s">
        <v>169</v>
      </c>
      <c r="C97">
        <v>5</v>
      </c>
      <c r="D97">
        <v>95</v>
      </c>
      <c r="F97" t="s">
        <v>176</v>
      </c>
      <c r="G97" t="s">
        <v>42</v>
      </c>
      <c r="H97">
        <v>0</v>
      </c>
      <c r="I97">
        <v>0</v>
      </c>
      <c r="J97">
        <v>0</v>
      </c>
      <c r="L97" t="str">
        <f t="shared" si="1"/>
        <v>sangat baik</v>
      </c>
    </row>
    <row r="98" spans="1:12" ht="15.75" x14ac:dyDescent="0.25">
      <c r="A98" s="5" t="s">
        <v>147</v>
      </c>
      <c r="B98" t="s">
        <v>7</v>
      </c>
      <c r="C98">
        <v>6</v>
      </c>
      <c r="D98">
        <v>55</v>
      </c>
      <c r="F98" t="s">
        <v>177</v>
      </c>
      <c r="G98" t="s">
        <v>41</v>
      </c>
      <c r="H98">
        <v>0</v>
      </c>
      <c r="I98">
        <v>0</v>
      </c>
      <c r="J98">
        <v>0</v>
      </c>
      <c r="L98" t="str">
        <f t="shared" si="1"/>
        <v>perlu peningkatan</v>
      </c>
    </row>
    <row r="99" spans="1:12" ht="15.75" x14ac:dyDescent="0.25">
      <c r="A99" s="5" t="s">
        <v>148</v>
      </c>
      <c r="B99" t="s">
        <v>168</v>
      </c>
      <c r="C99">
        <v>1</v>
      </c>
      <c r="D99">
        <v>86</v>
      </c>
      <c r="F99" t="s">
        <v>177</v>
      </c>
      <c r="G99" t="s">
        <v>42</v>
      </c>
      <c r="H99">
        <v>0</v>
      </c>
      <c r="I99">
        <v>0</v>
      </c>
      <c r="J99">
        <v>0</v>
      </c>
      <c r="L99" t="str">
        <f t="shared" si="1"/>
        <v>baik</v>
      </c>
    </row>
    <row r="100" spans="1:12" ht="15.75" x14ac:dyDescent="0.25">
      <c r="A100" s="5" t="s">
        <v>149</v>
      </c>
      <c r="B100" t="s">
        <v>6</v>
      </c>
      <c r="C100">
        <v>3</v>
      </c>
      <c r="D100">
        <v>90</v>
      </c>
      <c r="F100" t="s">
        <v>176</v>
      </c>
      <c r="G100" t="s">
        <v>42</v>
      </c>
      <c r="H100">
        <v>0</v>
      </c>
      <c r="I100">
        <v>0</v>
      </c>
      <c r="J100">
        <v>0</v>
      </c>
      <c r="L100" t="str">
        <f t="shared" si="1"/>
        <v>sangat baik</v>
      </c>
    </row>
    <row r="101" spans="1:12" ht="15.75" x14ac:dyDescent="0.25">
      <c r="A101" s="5" t="s">
        <v>150</v>
      </c>
      <c r="B101" t="s">
        <v>169</v>
      </c>
      <c r="C101">
        <v>1</v>
      </c>
      <c r="D101">
        <v>65</v>
      </c>
      <c r="F101" t="s">
        <v>177</v>
      </c>
      <c r="G101" t="s">
        <v>42</v>
      </c>
      <c r="H101">
        <v>0</v>
      </c>
      <c r="I101">
        <v>0</v>
      </c>
      <c r="J101">
        <v>0</v>
      </c>
      <c r="L101" t="str">
        <f t="shared" si="1"/>
        <v>perlu peningkatan</v>
      </c>
    </row>
    <row r="102" spans="1:12" ht="15.75" x14ac:dyDescent="0.25">
      <c r="A102" s="5"/>
    </row>
    <row r="103" spans="1:12" ht="15.75" x14ac:dyDescent="0.25">
      <c r="A103" s="5"/>
    </row>
    <row r="104" spans="1:12" ht="15.75" x14ac:dyDescent="0.25">
      <c r="A104" s="5"/>
    </row>
    <row r="105" spans="1:12" ht="15.75" x14ac:dyDescent="0.25">
      <c r="A105" s="5"/>
    </row>
    <row r="106" spans="1:12" ht="15.75" x14ac:dyDescent="0.25">
      <c r="A106" s="5"/>
    </row>
    <row r="107" spans="1:12" ht="15.75" x14ac:dyDescent="0.25">
      <c r="A107" s="5"/>
    </row>
    <row r="108" spans="1:12" ht="15.75" x14ac:dyDescent="0.25">
      <c r="A108" s="5"/>
    </row>
    <row r="109" spans="1:12" ht="15.75" x14ac:dyDescent="0.25">
      <c r="A109" s="5"/>
    </row>
    <row r="110" spans="1:12" ht="15.75" x14ac:dyDescent="0.25">
      <c r="A110" s="5"/>
    </row>
    <row r="111" spans="1:12" ht="15.75" x14ac:dyDescent="0.25">
      <c r="A111" s="5"/>
    </row>
    <row r="112" spans="1:12" ht="15.75" x14ac:dyDescent="0.25">
      <c r="A112" s="5"/>
    </row>
    <row r="113" spans="1:1" ht="15.75" x14ac:dyDescent="0.25">
      <c r="A113" s="5"/>
    </row>
    <row r="114" spans="1:1" ht="15.75" x14ac:dyDescent="0.25">
      <c r="A114" s="5"/>
    </row>
    <row r="115" spans="1:1" ht="15.75" x14ac:dyDescent="0.25">
      <c r="A115" s="5"/>
    </row>
    <row r="116" spans="1:1" ht="15.75" x14ac:dyDescent="0.25">
      <c r="A116" s="5"/>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0723-4C63-4815-8D81-0A44F7CDEFA2}">
  <sheetPr codeName="Sheet6"/>
  <dimension ref="A1:D17"/>
  <sheetViews>
    <sheetView workbookViewId="0">
      <selection activeCell="I15" sqref="I15"/>
    </sheetView>
  </sheetViews>
  <sheetFormatPr defaultRowHeight="15" x14ac:dyDescent="0.25"/>
  <cols>
    <col min="4" max="4" width="23.42578125" bestFit="1" customWidth="1"/>
  </cols>
  <sheetData>
    <row r="1" spans="1:4" x14ac:dyDescent="0.25">
      <c r="A1" s="4" t="s">
        <v>37</v>
      </c>
      <c r="B1" s="4" t="s">
        <v>38</v>
      </c>
      <c r="C1" s="4" t="s">
        <v>39</v>
      </c>
      <c r="D1" s="4" t="s">
        <v>40</v>
      </c>
    </row>
    <row r="2" spans="1:4" x14ac:dyDescent="0.25">
      <c r="A2" t="s">
        <v>31</v>
      </c>
      <c r="B2">
        <v>90</v>
      </c>
      <c r="C2">
        <v>100</v>
      </c>
      <c r="D2" t="s">
        <v>41</v>
      </c>
    </row>
    <row r="3" spans="1:4" x14ac:dyDescent="0.25">
      <c r="A3" t="s">
        <v>31</v>
      </c>
      <c r="B3">
        <v>80</v>
      </c>
      <c r="C3">
        <v>80</v>
      </c>
      <c r="D3" t="s">
        <v>42</v>
      </c>
    </row>
    <row r="4" spans="1:4" x14ac:dyDescent="0.25">
      <c r="A4" t="s">
        <v>31</v>
      </c>
      <c r="B4">
        <v>70</v>
      </c>
      <c r="C4">
        <v>79</v>
      </c>
      <c r="D4" t="s">
        <v>43</v>
      </c>
    </row>
    <row r="5" spans="1:4" x14ac:dyDescent="0.25">
      <c r="A5" t="s">
        <v>31</v>
      </c>
      <c r="B5">
        <v>0</v>
      </c>
      <c r="C5">
        <v>69</v>
      </c>
      <c r="D5" t="s">
        <v>48</v>
      </c>
    </row>
    <row r="6" spans="1:4" x14ac:dyDescent="0.25">
      <c r="A6" t="s">
        <v>32</v>
      </c>
      <c r="B6">
        <v>90</v>
      </c>
      <c r="C6">
        <v>100</v>
      </c>
      <c r="D6" t="s">
        <v>41</v>
      </c>
    </row>
    <row r="7" spans="1:4" x14ac:dyDescent="0.25">
      <c r="A7" t="s">
        <v>32</v>
      </c>
      <c r="B7">
        <v>80</v>
      </c>
      <c r="C7">
        <v>80</v>
      </c>
      <c r="D7" t="s">
        <v>42</v>
      </c>
    </row>
    <row r="8" spans="1:4" x14ac:dyDescent="0.25">
      <c r="A8" t="s">
        <v>32</v>
      </c>
      <c r="B8">
        <v>70</v>
      </c>
      <c r="C8">
        <v>79</v>
      </c>
      <c r="D8" t="s">
        <v>43</v>
      </c>
    </row>
    <row r="9" spans="1:4" x14ac:dyDescent="0.25">
      <c r="A9" t="s">
        <v>32</v>
      </c>
      <c r="B9">
        <v>0</v>
      </c>
      <c r="C9">
        <v>69</v>
      </c>
      <c r="D9" t="s">
        <v>48</v>
      </c>
    </row>
    <row r="10" spans="1:4" x14ac:dyDescent="0.25">
      <c r="A10" t="s">
        <v>33</v>
      </c>
      <c r="B10">
        <v>90</v>
      </c>
      <c r="C10">
        <v>100</v>
      </c>
      <c r="D10" t="s">
        <v>41</v>
      </c>
    </row>
    <row r="11" spans="1:4" x14ac:dyDescent="0.25">
      <c r="A11" t="s">
        <v>33</v>
      </c>
      <c r="B11">
        <v>80</v>
      </c>
      <c r="C11">
        <v>80</v>
      </c>
      <c r="D11" t="s">
        <v>42</v>
      </c>
    </row>
    <row r="12" spans="1:4" x14ac:dyDescent="0.25">
      <c r="A12" t="s">
        <v>33</v>
      </c>
      <c r="B12">
        <v>70</v>
      </c>
      <c r="C12">
        <v>79</v>
      </c>
      <c r="D12" t="s">
        <v>43</v>
      </c>
    </row>
    <row r="13" spans="1:4" x14ac:dyDescent="0.25">
      <c r="A13" t="s">
        <v>33</v>
      </c>
      <c r="B13">
        <v>0</v>
      </c>
      <c r="C13">
        <v>69</v>
      </c>
      <c r="D13" t="s">
        <v>48</v>
      </c>
    </row>
    <row r="14" spans="1:4" x14ac:dyDescent="0.25">
      <c r="A14" t="s">
        <v>34</v>
      </c>
      <c r="B14">
        <v>90</v>
      </c>
      <c r="C14">
        <v>100</v>
      </c>
      <c r="D14" t="s">
        <v>41</v>
      </c>
    </row>
    <row r="15" spans="1:4" x14ac:dyDescent="0.25">
      <c r="A15" t="s">
        <v>34</v>
      </c>
      <c r="B15">
        <v>80</v>
      </c>
      <c r="C15">
        <v>80</v>
      </c>
      <c r="D15" t="s">
        <v>42</v>
      </c>
    </row>
    <row r="16" spans="1:4" x14ac:dyDescent="0.25">
      <c r="A16" t="s">
        <v>34</v>
      </c>
      <c r="B16">
        <v>70</v>
      </c>
      <c r="C16">
        <v>79</v>
      </c>
      <c r="D16" t="s">
        <v>43</v>
      </c>
    </row>
    <row r="17" spans="1:4" x14ac:dyDescent="0.25">
      <c r="A17" t="s">
        <v>34</v>
      </c>
      <c r="B17">
        <v>0</v>
      </c>
      <c r="C17">
        <v>69</v>
      </c>
      <c r="D17" t="s">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6"/>
  <sheetViews>
    <sheetView workbookViewId="0">
      <selection activeCell="B16" sqref="B16"/>
    </sheetView>
  </sheetViews>
  <sheetFormatPr defaultRowHeight="15" x14ac:dyDescent="0.25"/>
  <cols>
    <col min="2" max="2" width="132.85546875" bestFit="1" customWidth="1"/>
  </cols>
  <sheetData>
    <row r="1" spans="1:2" x14ac:dyDescent="0.25">
      <c r="A1" s="2" t="s">
        <v>6</v>
      </c>
      <c r="B1" s="2" t="s">
        <v>0</v>
      </c>
    </row>
    <row r="2" spans="1:2" x14ac:dyDescent="0.25">
      <c r="A2">
        <v>1</v>
      </c>
      <c r="B2" t="s">
        <v>1</v>
      </c>
    </row>
    <row r="3" spans="1:2" x14ac:dyDescent="0.25">
      <c r="A3">
        <v>2</v>
      </c>
      <c r="B3" t="s">
        <v>2</v>
      </c>
    </row>
    <row r="4" spans="1:2" x14ac:dyDescent="0.25">
      <c r="A4">
        <v>3</v>
      </c>
      <c r="B4" t="s">
        <v>3</v>
      </c>
    </row>
    <row r="5" spans="1:2" x14ac:dyDescent="0.25">
      <c r="A5">
        <v>4</v>
      </c>
      <c r="B5" t="s">
        <v>4</v>
      </c>
    </row>
    <row r="6" spans="1:2" x14ac:dyDescent="0.25">
      <c r="A6">
        <v>5</v>
      </c>
      <c r="B6"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0AFC-0461-4F48-977F-5B56C1921A35}">
  <sheetPr codeName="Sheet3"/>
  <dimension ref="A1:B7"/>
  <sheetViews>
    <sheetView tabSelected="1" workbookViewId="0">
      <selection activeCell="B1" sqref="B1"/>
    </sheetView>
  </sheetViews>
  <sheetFormatPr defaultRowHeight="15" x14ac:dyDescent="0.25"/>
  <cols>
    <col min="1" max="1" width="11.5703125" bestFit="1" customWidth="1"/>
    <col min="2" max="2" width="120.7109375" customWidth="1"/>
  </cols>
  <sheetData>
    <row r="1" spans="1:2" x14ac:dyDescent="0.25">
      <c r="A1" s="2" t="s">
        <v>7</v>
      </c>
      <c r="B1" s="2" t="s">
        <v>181</v>
      </c>
    </row>
    <row r="2" spans="1:2" ht="31.5" x14ac:dyDescent="0.25">
      <c r="A2">
        <v>1</v>
      </c>
      <c r="B2" s="3" t="s">
        <v>8</v>
      </c>
    </row>
    <row r="3" spans="1:2" x14ac:dyDescent="0.25">
      <c r="A3">
        <v>2</v>
      </c>
      <c r="B3" t="s">
        <v>9</v>
      </c>
    </row>
    <row r="4" spans="1:2" x14ac:dyDescent="0.25">
      <c r="A4">
        <v>3</v>
      </c>
      <c r="B4" t="s">
        <v>10</v>
      </c>
    </row>
    <row r="5" spans="1:2" x14ac:dyDescent="0.25">
      <c r="A5">
        <v>4</v>
      </c>
      <c r="B5" t="s">
        <v>11</v>
      </c>
    </row>
    <row r="6" spans="1:2" x14ac:dyDescent="0.25">
      <c r="A6">
        <v>5</v>
      </c>
      <c r="B6" t="s">
        <v>12</v>
      </c>
    </row>
    <row r="7" spans="1:2" x14ac:dyDescent="0.25">
      <c r="A7">
        <v>6</v>
      </c>
      <c r="B7" t="s">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7F8E-C72D-4EED-94D0-DFC8B9F9FAB3}">
  <sheetPr codeName="Sheet4"/>
  <dimension ref="A1:B6"/>
  <sheetViews>
    <sheetView workbookViewId="0">
      <selection activeCell="B13" sqref="B13"/>
    </sheetView>
  </sheetViews>
  <sheetFormatPr defaultRowHeight="15" x14ac:dyDescent="0.25"/>
  <cols>
    <col min="1" max="1" width="11.5703125" bestFit="1" customWidth="1"/>
    <col min="2" max="2" width="120.7109375" style="1" customWidth="1"/>
  </cols>
  <sheetData>
    <row r="1" spans="1:2" x14ac:dyDescent="0.25">
      <c r="A1" s="2" t="s">
        <v>7</v>
      </c>
      <c r="B1" s="1" t="s">
        <v>0</v>
      </c>
    </row>
    <row r="2" spans="1:2" ht="47.25" x14ac:dyDescent="0.25">
      <c r="A2">
        <v>1</v>
      </c>
      <c r="B2" s="3" t="s">
        <v>14</v>
      </c>
    </row>
    <row r="3" spans="1:2" ht="30" x14ac:dyDescent="0.25">
      <c r="A3">
        <v>2</v>
      </c>
      <c r="B3" s="1" t="s">
        <v>15</v>
      </c>
    </row>
    <row r="4" spans="1:2" ht="45" x14ac:dyDescent="0.25">
      <c r="A4">
        <v>3</v>
      </c>
      <c r="B4" s="1" t="s">
        <v>16</v>
      </c>
    </row>
    <row r="5" spans="1:2" x14ac:dyDescent="0.25">
      <c r="A5">
        <v>4</v>
      </c>
      <c r="B5" s="1" t="s">
        <v>17</v>
      </c>
    </row>
    <row r="6" spans="1:2" ht="30" x14ac:dyDescent="0.25">
      <c r="A6">
        <v>5</v>
      </c>
      <c r="B6" s="1" t="s">
        <v>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9834C-CCEA-47D9-8C9B-D5A92DCA12B3}">
  <sheetPr codeName="Sheet5"/>
  <dimension ref="A1:B6"/>
  <sheetViews>
    <sheetView workbookViewId="0">
      <selection activeCell="B14" sqref="B14"/>
    </sheetView>
  </sheetViews>
  <sheetFormatPr defaultRowHeight="15" x14ac:dyDescent="0.25"/>
  <cols>
    <col min="1" max="1" width="11.5703125" bestFit="1" customWidth="1"/>
    <col min="2" max="2" width="120.7109375" style="1" customWidth="1"/>
  </cols>
  <sheetData>
    <row r="1" spans="1:2" x14ac:dyDescent="0.25">
      <c r="A1" s="2" t="s">
        <v>7</v>
      </c>
      <c r="B1" s="1" t="s">
        <v>0</v>
      </c>
    </row>
    <row r="2" spans="1:2" ht="15.75" x14ac:dyDescent="0.25">
      <c r="A2">
        <v>1</v>
      </c>
      <c r="B2" s="3" t="s">
        <v>19</v>
      </c>
    </row>
    <row r="3" spans="1:2" ht="30" x14ac:dyDescent="0.25">
      <c r="A3">
        <v>2</v>
      </c>
      <c r="B3" s="1" t="s">
        <v>20</v>
      </c>
    </row>
    <row r="4" spans="1:2" x14ac:dyDescent="0.25">
      <c r="A4">
        <v>3</v>
      </c>
      <c r="B4" s="1" t="s">
        <v>21</v>
      </c>
    </row>
    <row r="5" spans="1:2" x14ac:dyDescent="0.25">
      <c r="A5">
        <v>4</v>
      </c>
      <c r="B5" s="1" t="s">
        <v>22</v>
      </c>
    </row>
    <row r="6" spans="1:2" x14ac:dyDescent="0.25">
      <c r="A6">
        <v>5</v>
      </c>
      <c r="B6"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pertanyaan</vt:lpstr>
      <vt:lpstr>siswa</vt:lpstr>
      <vt:lpstr>rapor</vt:lpstr>
      <vt:lpstr>rule_level</vt:lpstr>
      <vt:lpstr>CP_TK</vt:lpstr>
      <vt:lpstr>CP_SD</vt:lpstr>
      <vt:lpstr>CP_SMP</vt:lpstr>
      <vt:lpstr>CP_SMA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KREATOR</dc:creator>
  <cp:lastModifiedBy>Soni Yora</cp:lastModifiedBy>
  <dcterms:created xsi:type="dcterms:W3CDTF">2015-06-05T18:17:20Z</dcterms:created>
  <dcterms:modified xsi:type="dcterms:W3CDTF">2026-02-23T00:32:49Z</dcterms:modified>
</cp:coreProperties>
</file>